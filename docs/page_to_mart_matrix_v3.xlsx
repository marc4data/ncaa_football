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trix" sheetId="2" state="visible" r:id="rId4"/>
    <sheet name="Dimensions" sheetId="3" state="visible" r:id="rId5"/>
    <sheet name="Facts" sheetId="4" state="visible" r:id="rId6"/>
    <sheet name="Serving_Views" sheetId="5" state="visible" r:id="rId7"/>
    <sheet name="Gaps_Risks" sheetId="6" state="visible" r:id="rId8"/>
    <sheet name="Build_Order" sheetId="7" state="visible" r:id="rId9"/>
    <sheet name="Changes" sheetId="8" state="visible" r:id="rId10"/>
  </sheets>
  <definedNames>
    <definedName function="false" hidden="true" localSheetId="7" name="_xlnm._FilterDatabase" vbProcedure="false">Changes!$A$4:$E$20</definedName>
    <definedName function="false" hidden="true" localSheetId="2" name="_xlnm._FilterDatabase" vbProcedure="false">Dimensions!$A$4:$H$16</definedName>
    <definedName function="false" hidden="true" localSheetId="3" name="_xlnm._FilterDatabase" vbProcedure="false">Facts!$A$4:$H$25</definedName>
    <definedName function="false" hidden="true" localSheetId="5" name="_xlnm._FilterDatabase" vbProcedure="false">Gaps_Risks!$A$4:$E$22</definedName>
    <definedName function="false" hidden="true" localSheetId="4" name="_xlnm._FilterDatabase" vbProcedure="false">Serving_Views!$A$4:$D$22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<sst xmlns="http://schemas.openxmlformats.org/spreadsheetml/2006/main" count="911" uniqueCount="445">
  <si>
    <t xml:space="preserve">cfdb — Page-to-Mart Coverage Matrix  (v3)</t>
  </si>
  <si>
    <t xml:space="preserve">NORTH STAR: every page rendering real data. Statuses verified 2026-08-19. Companion to cfdb_wireframe_v02.html.</t>
  </si>
  <si>
    <t xml:space="preserve">WHAT THIS IS</t>
  </si>
  <si>
    <t xml:space="preserve">A design for the dimensional model needed to serve wireframe v0.2. Seventeen pages mapped against 12 dimensions and 20 facts, plus the pre-joined serving views the Streamlit app actually reads.</t>
  </si>
  <si>
    <t xml:space="preserve">DECISIONS APPLIED</t>
  </si>
  <si>
    <t xml:space="preserve">Naming</t>
  </si>
  <si>
    <t xml:space="preserve">fct_* / dim_* everywhere. The three existing mart_* objects get renamed: mart_team_season_record -&gt; fct_team_record, mart_team_schedule -&gt; fct_game (schedule slice), mart_data_freshness -&gt; fct_pipeline_run. Three renames now, while it is cheap.</t>
  </si>
  <si>
    <t xml:space="preserve">Serving layer</t>
  </si>
  <si>
    <t xml:space="preserve">Pre-joined wide serving tables (srv_*). dbt emits one denormalized table per view; Streamlit issues single-table SELECTs with a WHERE clause. No joins and no metric math in the app.</t>
  </si>
  <si>
    <t xml:space="preserve">Division scope</t>
  </si>
  <si>
    <t xml:space="preserve">FBS spine. Non-FBS teams that play an FBS opponent exist in dim_team as stubs (name, conference, logo, is_fbs = false) with no deep stats, so records and schedules reconcile.</t>
  </si>
  <si>
    <t xml:space="preserve">HOW TO READ THE MATRIX</t>
  </si>
  <si>
    <t xml:space="preserve">P</t>
  </si>
  <si>
    <t xml:space="preserve">Primary — this table sets the page's grain. Usually exactly one per page.</t>
  </si>
  <si>
    <t xml:space="preserve">S</t>
  </si>
  <si>
    <t xml:space="preserve">Secondary — a fact joined in for additional columns.</t>
  </si>
  <si>
    <t xml:space="preserve">D</t>
  </si>
  <si>
    <t xml:space="preserve">Dimension lookup — names, logos, labels, filter values.</t>
  </si>
  <si>
    <t xml:space="preserve">(blank)</t>
  </si>
  <si>
    <t xml:space="preserve">Not used by this page.</t>
  </si>
  <si>
    <t xml:space="preserve">STATUS VALUES</t>
  </si>
  <si>
    <t xml:space="preserve">LIVE</t>
  </si>
  <si>
    <t xml:space="preserve">An existing object maps to this.</t>
  </si>
  <si>
    <t xml:space="preserve">PARTIAL</t>
  </si>
  <si>
    <t xml:space="preserve">An existing object covers some of it.</t>
  </si>
  <si>
    <t xml:space="preserve">ASSUMED</t>
  </si>
  <si>
    <t xml:space="preserve">Must already exist in some form for the live marts to work, but NOT verified in this session.</t>
  </si>
  <si>
    <t xml:space="preserve">NOT BUILT</t>
  </si>
  <si>
    <t xml:space="preserve">Does not exist.</t>
  </si>
  <si>
    <t xml:space="preserve">WHAT CHANGED IN v2</t>
  </si>
  <si>
    <t xml:space="preserve">v1 of this workbook was written from three object names with no schema inspected. A read-only audit (claude_work/cfdb_model_reconciliation.md) reconciled it against the actual repo and found several material errors. All corrections are on the Changes sheet. The biggest: v1 had fct_game and fct_game_team exactly backwards, and building it as written would have duplicated a live production table.</t>
  </si>
  <si>
    <t xml:space="preserve">HOW MATURE THE REPO ACTUALLY IS</t>
  </si>
  <si>
    <t xml:space="preserve">Not the near-greenfield v1 assumed. 6 dbt models with 45 tests and zero untested models; 65 raw tables and ~3.04M records; the same dbt models running on BOTH transform Postgres and Databricks with checksum-verified parity; Airflow 3.3.1 with 4 live DAGs; and a deployed droplet serving Streamlit behind a Cloudflare tunnel.</t>
  </si>
  <si>
    <t xml:space="preserve">WHAT IS STILL UNVERIFIED</t>
  </si>
  <si>
    <t xml:space="preserve">1</t>
  </si>
  <si>
    <t xml:space="preserve">The EAV shape of /stats/player/season — documented, not inspected.</t>
  </si>
  <si>
    <t xml:space="preserve">2</t>
  </si>
  <si>
    <t xml:space="preserve">fct_team_talent zero-vs-null — observed in the training CSVs, not confirmed against landed raw.</t>
  </si>
  <si>
    <t xml:space="preserve">3</t>
  </si>
  <si>
    <t xml:space="preserve">Whether /games/teams box scores carry every column fct_game_team_advanced assumes.</t>
  </si>
  <si>
    <t xml:space="preserve">4</t>
  </si>
  <si>
    <t xml:space="preserve">The spread vs formatted_spread disagreement — it lives in an external workbook, not this repo.</t>
  </si>
  <si>
    <t xml:space="preserve">SHEETS</t>
  </si>
  <si>
    <t xml:space="preserve">Matrix</t>
  </si>
  <si>
    <t xml:space="preserve">Pages (rows) x tables (columns), with live coverage counts.</t>
  </si>
  <si>
    <t xml:space="preserve">Dimensions</t>
  </si>
  <si>
    <t xml:space="preserve">Catalog: grain, SCD approach, CFBD source, status, phase, design notes.</t>
  </si>
  <si>
    <t xml:space="preserve">Facts</t>
  </si>
  <si>
    <t xml:space="preserve">Same, for facts. Read the notes column — that is where the traps are.</t>
  </si>
  <si>
    <t xml:space="preserve">Serving_Views</t>
  </si>
  <si>
    <t xml:space="preserve">One srv_* view per page view, with its grain and why it is shaped that way.</t>
  </si>
  <si>
    <t xml:space="preserve">Gaps_Risks</t>
  </si>
  <si>
    <t xml:space="preserve">18 items: 2 CRITICAL, 5 HIGH, 4 MEDIUM, 1 LOW, 4 RESOLVED by the audit, 2 OPEN.</t>
  </si>
  <si>
    <t xml:space="preserve">Changes</t>
  </si>
  <si>
    <t xml:space="preserve">Every v1 -&gt; v2 correction, with old and new values.</t>
  </si>
  <si>
    <t xml:space="preserve">Build_Order</t>
  </si>
  <si>
    <t xml:space="preserve">Phased sequence with counts driven off the Facts and Dimensions sheets.</t>
  </si>
  <si>
    <t xml:space="preserve">Page-to-Mart Coverage Matrix</t>
  </si>
  <si>
    <t xml:space="preserve">P = primary grain · S = secondary fact · D = dimension lookup</t>
  </si>
  <si>
    <t xml:space="preserve">Page</t>
  </si>
  <si>
    <t xml:space="preserve">Phase</t>
  </si>
  <si>
    <t xml:space="preserve">Primary grain</t>
  </si>
  <si>
    <t xml:space="preserve">dim_team</t>
  </si>
  <si>
    <t xml:space="preserve">dim_conference</t>
  </si>
  <si>
    <t xml:space="preserve">dim_venue</t>
  </si>
  <si>
    <t xml:space="preserve">dim_season</t>
  </si>
  <si>
    <t xml:space="preserve">dim_week</t>
  </si>
  <si>
    <t xml:space="preserve">dim_coach</t>
  </si>
  <si>
    <t xml:space="preserve">dim_athlete</t>
  </si>
  <si>
    <t xml:space="preserve">dim_poll</t>
  </si>
  <si>
    <t xml:space="preserve">dim_provider</t>
  </si>
  <si>
    <t xml:space="preserve">dim_model_version</t>
  </si>
  <si>
    <t xml:space="preserve">dim_stat_category</t>
  </si>
  <si>
    <t xml:space="preserve">dim_field_metadata</t>
  </si>
  <si>
    <t xml:space="preserve">fct_game</t>
  </si>
  <si>
    <t xml:space="preserve">fct_game_team</t>
  </si>
  <si>
    <t xml:space="preserve">fct_game_team_advanced</t>
  </si>
  <si>
    <t xml:space="preserve">fct_team_week_rating</t>
  </si>
  <si>
    <t xml:space="preserve">fct_team_season_stat</t>
  </si>
  <si>
    <t xml:space="preserve">fct_team_record</t>
  </si>
  <si>
    <t xml:space="preserve">fct_poll_rank</t>
  </si>
  <si>
    <t xml:space="preserve">fct_betting_line</t>
  </si>
  <si>
    <t xml:space="preserve">fct_prediction</t>
  </si>
  <si>
    <t xml:space="preserve">fct_drive</t>
  </si>
  <si>
    <t xml:space="preserve">fct_play</t>
  </si>
  <si>
    <t xml:space="preserve">fct_player_game_stat</t>
  </si>
  <si>
    <t xml:space="preserve">fct_player_season_stat</t>
  </si>
  <si>
    <t xml:space="preserve">fct_team_talent</t>
  </si>
  <si>
    <t xml:space="preserve">fct_returning_production</t>
  </si>
  <si>
    <t xml:space="preserve">fct_game_weather</t>
  </si>
  <si>
    <t xml:space="preserve">fct_bet</t>
  </si>
  <si>
    <t xml:space="preserve">fct_endpoint_freshness</t>
  </si>
  <si>
    <t xml:space="preserve">fct_pipeline_run</t>
  </si>
  <si>
    <t xml:space="preserve">fct_dq_test_result</t>
  </si>
  <si>
    <t xml:space="preserve">fct_api_usage</t>
  </si>
  <si>
    <t xml:space="preserve">Total</t>
  </si>
  <si>
    <t xml:space="preserve">% ready</t>
  </si>
  <si>
    <t xml:space="preserve">Renders today?</t>
  </si>
  <si>
    <t xml:space="preserve">Today</t>
  </si>
  <si>
    <t xml:space="preserve">P1</t>
  </si>
  <si>
    <t xml:space="preserve">renders</t>
  </si>
  <si>
    <t xml:space="preserve">Schedule</t>
  </si>
  <si>
    <t xml:space="preserve">Scores</t>
  </si>
  <si>
    <t xml:space="preserve">Rankings</t>
  </si>
  <si>
    <t xml:space="preserve">P2</t>
  </si>
  <si>
    <t xml:space="preserve">BLOCKED: fct_poll_rank</t>
  </si>
  <si>
    <t xml:space="preserve">Standings</t>
  </si>
  <si>
    <t xml:space="preserve">Stats</t>
  </si>
  <si>
    <t xml:space="preserve">BLOCKED: fct_team_season_stat</t>
  </si>
  <si>
    <t xml:space="preserve">Teams</t>
  </si>
  <si>
    <t xml:space="preserve">Team page</t>
  </si>
  <si>
    <t xml:space="preserve">Matchup</t>
  </si>
  <si>
    <t xml:space="preserve">P3</t>
  </si>
  <si>
    <t xml:space="preserve">Odds Board</t>
  </si>
  <si>
    <t xml:space="preserve">P5</t>
  </si>
  <si>
    <t xml:space="preserve">Edge Finder</t>
  </si>
  <si>
    <t xml:space="preserve">BLOCKED: fct_prediction</t>
  </si>
  <si>
    <t xml:space="preserve">Model Performance</t>
  </si>
  <si>
    <t xml:space="preserve">Line Movement</t>
  </si>
  <si>
    <t xml:space="preserve">P4</t>
  </si>
  <si>
    <t xml:space="preserve">Excel Export</t>
  </si>
  <si>
    <t xml:space="preserve">(composite - no single grain)</t>
  </si>
  <si>
    <t xml:space="preserve">Data Dictionary</t>
  </si>
  <si>
    <t xml:space="preserve">BLOCKED: dim_field_metadata</t>
  </si>
  <si>
    <t xml:space="preserve">Methodology</t>
  </si>
  <si>
    <t xml:space="preserve">P6</t>
  </si>
  <si>
    <t xml:space="preserve">System Overview</t>
  </si>
  <si>
    <t xml:space="preserve">fct_endpoint_freshness, fct_dq_test_result</t>
  </si>
  <si>
    <t xml:space="preserve">BLOCKED: fct_dq_test_result</t>
  </si>
  <si>
    <t xml:space="preserve">Pages using this table</t>
  </si>
  <si>
    <t xml:space="preserve">Build status</t>
  </si>
  <si>
    <t xml:space="preserve">Note</t>
  </si>
  <si>
    <t xml:space="preserve">Status row is inferred from three supplied object NAMES only — mart_data_freshness, mart_team_schedule, mart_team_season_record. No schema was inspected. '% ready' therefore measures name-level coverage, not working coverage.</t>
  </si>
  <si>
    <t xml:space="preserve">12 dimensions. 'Pages served' is a live count off the Matrix sheet.</t>
  </si>
  <si>
    <t xml:space="preserve">Table</t>
  </si>
  <si>
    <t xml:space="preserve">Grain</t>
  </si>
  <si>
    <t xml:space="preserve">SCD / load pattern</t>
  </si>
  <si>
    <t xml:space="preserve">CFBD source</t>
  </si>
  <si>
    <t xml:space="preserve">Status</t>
  </si>
  <si>
    <t xml:space="preserve">Pages served</t>
  </si>
  <si>
    <t xml:space="preserve">Design notes &amp; traps</t>
  </si>
  <si>
    <t xml:space="preserve">One row per team per season</t>
  </si>
  <si>
    <t xml:space="preserve">Season-scoped (SCD2 REJECTED)</t>
  </si>
  <si>
    <t xml:space="preserve">/teams, /teams/fbs</t>
  </si>
  <si>
    <t xml:space="preserve">v2: exists as staging.stg_teams, a VIEW at team x season, 34,061 rows. Needs promotion to marts. CRITICAL GAP: logos, color and alternate_color are ABSENT from the model though present in the raw payload - wireframe v0.2 depends on both. SCD2 was specified in v1 and is now REJECTED: realignment happens between seasons, season-scoping answers that exactly, and no page asks 'what was true on date D'.</t>
  </si>
  <si>
    <t xml:space="preserve">One row per conference</t>
  </si>
  <si>
    <t xml:space="preserve">SCD1</t>
  </si>
  <si>
    <t xml:space="preserve">/conferences</t>
  </si>
  <si>
    <t xml:space="preserve">v2 CORRECTION: v1 marked this ASSUMED. It does not exist in any form - conference is a text column on stg_teams and mart_team_schedule. No entity, no key, no attributes. Genuine build. Unblocks 12 pages.</t>
  </si>
  <si>
    <t xml:space="preserve">One row per venue</t>
  </si>
  <si>
    <t xml:space="preserve">/venues</t>
  </si>
  <si>
    <t xml:space="preserve">raw.raw_venues landed, not modelled. lat/lon, elevation, capacity, dome, grass, timezone. Powers travel distance, elevation delta and the neutral-site flag. Cheap table, disproportionate feature value.</t>
  </si>
  <si>
    <t xml:space="preserve">One row per season</t>
  </si>
  <si>
    <t xml:space="preserve">static</t>
  </si>
  <si>
    <t xml:space="preserve">derived</t>
  </si>
  <si>
    <t xml:space="preserve">Trivial. Seasons range 1869-2026 in stg_games.</t>
  </si>
  <si>
    <t xml:space="preserve">One row per season x season_type x week</t>
  </si>
  <si>
    <t xml:space="preserve">/calendar</t>
  </si>
  <si>
    <t xml:space="preserve">VERIFIED CONSTRAINT: /calendar returns nothing before 2002, while stg_games covers 1869-2026. dim_week therefore cannot cover ~130 historical seasons - any week-grain join across deep history loses them. Record the floor in the model and test for it. season_type is part of the key: PostSeason Week 1 is NOT Regular Season Week 1.</t>
  </si>
  <si>
    <t xml:space="preserve">One row per coach per team-tenure</t>
  </si>
  <si>
    <t xml:space="preserve">SCD2 on team</t>
  </si>
  <si>
    <t xml:space="preserve">/coaches, /coaches/tenures</t>
  </si>
  <si>
    <t xml:space="preserve">V1.5</t>
  </si>
  <si>
    <t xml:space="preserve">raw.raw_coaches landed, 141 seasons (1886+). Only needed for backlog B5.</t>
  </si>
  <si>
    <t xml:space="preserve">One row per player per team-season</t>
  </si>
  <si>
    <t xml:space="preserve">Season-scoped</t>
  </si>
  <si>
    <t xml:space="preserve">/roster, /player/search</t>
  </si>
  <si>
    <t xml:space="preserve">raw.raw_roster landed (3 responses). Hometown lat/lon and recruitIds are on the payload. Season-scoped for the same reason as dim_team.</t>
  </si>
  <si>
    <t xml:space="preserve">One row per poll type</t>
  </si>
  <si>
    <t xml:space="preserve">derived from /rankings</t>
  </si>
  <si>
    <t xml:space="preserve">NEXT</t>
  </si>
  <si>
    <t xml:space="preserve">raw.raw_rankings landed (1936+). Tiny, but it lets the rankings template drop the Points column for CFP without a special case.</t>
  </si>
  <si>
    <t xml:space="preserve">One row per sportsbook</t>
  </si>
  <si>
    <t xml:space="preserve">/lines[].provider</t>
  </si>
  <si>
    <t xml:space="preserve">v2: PROVIDER LIST NOW VERIFIED from 12 landed responses - ESPN Bet (3,199 rows), Bovada (2,148), DraftKings (2,032), 'Draft Kings' (64). NONE of v1's four guesses appear. DEFECT: the two DraftKings spellings are one book and will silently split any provider comparison. DECIDED: preserve provider_raw exactly as landed AND add a mapped provider_key - no blind rename, so the mapping stays auditable. Test must FAIL on an unmapped provider_raw.</t>
  </si>
  <si>
    <t xml:space="preserve">One row per trained model version</t>
  </si>
  <si>
    <t xml:space="preserve">append-only</t>
  </si>
  <si>
    <t xml:space="preserve">internal</t>
  </si>
  <si>
    <t xml:space="preserve">No ML in the repo at all. Without this in fct_prediction's grain, a retrain silently rewrites measured history.</t>
  </si>
  <si>
    <t xml:space="preserve">One row per stat category x stat type</t>
  </si>
  <si>
    <t xml:space="preserve">Pivot/typing lookup for the EAV-shaped /stats/player/season. UNVERIFIED: the EAV shape is documented but was not inspected in the audit.</t>
  </si>
  <si>
    <t xml:space="preserve">One row per table x column</t>
  </si>
  <si>
    <t xml:space="preserve">versioned</t>
  </si>
  <si>
    <t xml:space="preserve">dbt schema.yml + persist_docs</t>
  </si>
  <si>
    <t xml:space="preserve">v2: moved P1 -&gt; P2. Marc calls this a requirement and it stays in scope, but all 6 existing models already carry schema.yml descriptions and `dbt docs generate` covers the need until there are more tables. Feeds both the website page and the Excel sheet from one source so they cannot drift. Must carry a per-field status so unconfirmed fields (e.g. `spread` in the CFBD weekly training CSVs) read as unknown rather than a plausible guess.</t>
  </si>
  <si>
    <t xml:space="preserve">20 facts. The notes column is where the traps are — read it before building.</t>
  </si>
  <si>
    <t xml:space="preserve">One row per game</t>
  </si>
  <si>
    <t xml:space="preserve">transaction</t>
  </si>
  <si>
    <t xml:space="preserve">/games, /games/media</t>
  </si>
  <si>
    <t xml:space="preserve">v2 CORRECTION: v1 marked this PARTIAL. It is not. The one-row-per-game grain exists ONLY as staging.stg_games, a view (110,102 rows). No mart at this grain. DECIDED: promote stg_games to a mart. It must exist alongside fct_game_team - deriving a game list from the team-game table by filtering is_home is the double-count trap.</t>
  </si>
  <si>
    <t xml:space="preserve">One row per game x team (2 per game)</t>
  </si>
  <si>
    <t xml:space="preserve">/games (+ /games/teams to extend)</t>
  </si>
  <si>
    <t xml:space="preserve">v2 CORRECTION - THE HEADLINE ERROR: v1 marked this NOT BUILT / P2. It is LIVE as marts.mart_team_schedule - 220,204 rows (exactly 2 x 110,102), 9 tests, serving the site since 2026-08-15. Building it as v1 specified would have DUPLICATED a production table. Sourced from /games, so it has schedule and result columns but no box scores. DECIDED: EXTEND this mart with /games/teams box-score columns; never create a second table at the same grain.</t>
  </si>
  <si>
    <t xml:space="preserve">One row per game x team</t>
  </si>
  <si>
    <t xml:space="preserve">/stats/game/advanced, /game/box/advanced, /ppa/games, /stats/game/havoc</t>
  </si>
  <si>
    <t xml:space="preserve">Raw landed (raw_stats_game_advanced, raw_ppa_games). UNVERIFIED: whether /games/teams box scores carry every column this assumes.</t>
  </si>
  <si>
    <t xml:space="preserve">One row per team x season x week</t>
  </si>
  <si>
    <t xml:space="preserve">periodic snapshot</t>
  </si>
  <si>
    <t xml:space="preserve">/ratings/sp, /ratings/elo, /ratings/srs, /ratings/fpi, /ratings/core, /wepa/team/season</t>
  </si>
  <si>
    <t xml:space="preserve">All five ratings endpoints are landed in raw; nothing is modelled. This is the as-of-week snapshot the CFBD weekly training CSVs already are (Alabama adj-EPA 0.2918 in W5 -&gt; 0.2747 in W11). Point-in-time correctness lives or dies here: if it is ever rebuilt with end-of-season values every backtest silently leaks. Enforce with a uniqueness test on (team_id, season, week) plus a test that a written week never changes.</t>
  </si>
  <si>
    <t xml:space="preserve">One row per team x season x through_week</t>
  </si>
  <si>
    <t xml:space="preserve">accumulating snapshot</t>
  </si>
  <si>
    <t xml:space="preserve">/stats/season, /stats/season/advanced, /ppa/teams</t>
  </si>
  <si>
    <t xml:space="preserve">raw.raw_stats_season landed (1869+). through_week in the grain is what lets Stats show 'through week 8' honestly.</t>
  </si>
  <si>
    <t xml:space="preserve">One row per team x season</t>
  </si>
  <si>
    <t xml:space="preserve">DERIVED from stg_games</t>
  </si>
  <si>
    <t xml:space="preserve">v2 SOURCE CORRECTION: v1 said /records. Reality - marts.mart_team_season_record computes W-L-T from stg_games by unpivoting home/away. /records is landed and UNUSED. 30,221 rows, 11 tests. No tiebreak_rank column exists. DECIDED: keep deriving from stg_games (internally consistent with the game spine) and add a dbt TEST that reconciles against /records - cheap, since it is already landed, and a strong DQ artifact.</t>
  </si>
  <si>
    <t xml:space="preserve">One row per poll x season x week x team</t>
  </si>
  <si>
    <t xml:space="preserve">/rankings</t>
  </si>
  <si>
    <t xml:space="preserve">raw.raw_rankings landed (1936+). Points is null for the CFP poll by nature, not by error.</t>
  </si>
  <si>
    <t xml:space="preserve">One row per game x provider x snapshot_ts</t>
  </si>
  <si>
    <t xml:space="preserve">/lines</t>
  </si>
  <si>
    <t xml:space="preserve">RAW IS ACCRUING - 12 snapshot files, 10 loaded. The DAG has run since 2026-08-15 but at @daily, and it FETCHES WITHOUT LOADING (loading happens only in the weekly DAGs), so the warehouse can lag disk by a week. The raw files are the durable history, so only the FETCH cadence is irreversible. DECIDED: season-aware cadence - daily off-season, 4-hourly from 7 days before the first game. Switch date 2026-08-20; window closes 2027-01-27 (championship is Mon 2027-01-25, Allegiant Stadium; +2 days because a 7:30pm ET kickoff runs past midnight UTC). Keep BOTH spread and formatted_spread - they disagree historically and neither is known authoritative.</t>
  </si>
  <si>
    <t xml:space="preserve">One row per game x model_version x prediction_ts</t>
  </si>
  <si>
    <t xml:space="preserve">cfdb model output</t>
  </si>
  <si>
    <t xml:space="preserve">No ML anywhere in the repo yet. pred points, margin, spread, win_prob, and a confidence band (backlog A6 - at 14.1 pts of margin MAE a bare point estimate is false precision). Append-only so a retrain never rewrites what was actually predicted.</t>
  </si>
  <si>
    <t xml:space="preserve">One row per drive</t>
  </si>
  <si>
    <t xml:space="preserve">/drives</t>
  </si>
  <si>
    <t xml:space="preserve">raw.raw_drives landed (6 responses, 2024-2026). Backlog B2 - points per drive, scoring-opportunity rate.</t>
  </si>
  <si>
    <t xml:space="preserve">One row per play</t>
  </si>
  <si>
    <t xml:space="preserve">/plays, /plays/stats</t>
  </si>
  <si>
    <t xml:space="preserve">v2: promoted V1.5 -&gt; P3. v1 deferred this because '/plays requires year AND week, 15+ calls per season'. Reality - 2024 is ALREADY LANDED (36 files, ~570k rows) and the measured full 2024-2026 cost is ~1,006,000 plays, ~0.87 GB, about two minutes of API time. The expensive part is largely paid; what remains is modelling. This also changes the economics of the still-open Player page question.</t>
  </si>
  <si>
    <t xml:space="preserve">One row per player x game x stat</t>
  </si>
  <si>
    <t xml:space="preserve">/games/players</t>
  </si>
  <si>
    <t xml:space="preserve">raw.raw_games_players landed (36 files).</t>
  </si>
  <si>
    <t xml:space="preserve">One row per player x season x category x stat_type</t>
  </si>
  <si>
    <t xml:space="preserve">/stats/player/season, /player/usage, /ppa/players/season, /wepa/players/*</t>
  </si>
  <si>
    <t xml:space="preserve">raw.raw_stats_player_season landed - 48 files, the largest endpoint at ~420 MB. Source is EAV with the value as a STRING: land long, type and pivot in dbt, serve wide. UNVERIFIED - the EAV shape was not inspected in the audit.</t>
  </si>
  <si>
    <t xml:space="preserve">/talent</t>
  </si>
  <si>
    <t xml:space="preserve">raw.raw_talent landed. KNOWN ISSUE (from the training CSVs, UNVERIFIED against raw): talent = 0.00 for some teams e.g. Air Force. That is missing data, not a true zero, and will corrupt any feature or percentile built on it. Null it in staging.</t>
  </si>
  <si>
    <t xml:space="preserve">/player/returning</t>
  </si>
  <si>
    <t xml:space="preserve">raw.raw_player_returning landed. Backlog B8 - preseason signal for year-over-year change.</t>
  </si>
  <si>
    <t xml:space="preserve">/games/weather</t>
  </si>
  <si>
    <t xml:space="preserve">v2 GAP RESOLVED: v1 warned this endpoint was probably Patreon tier-gated. VERIFIED NOT GATED on this key - 4 responses, all HTTP 200, up to 3,176 rows landed. Backlog A2 can proceed; wind is the strongest known signal for totals.</t>
  </si>
  <si>
    <t xml:space="preserve">One row per placed bet</t>
  </si>
  <si>
    <t xml:space="preserve">manual entry</t>
  </si>
  <si>
    <t xml:space="preserve">Backlog A5. Marc's scepticism was well founded: manual entry, and cfdb has no visibility into the actual book or its vig. Its real value is CLV against the closing line you snapshot yourself. Assume -110 and document it.</t>
  </si>
  <si>
    <t xml:space="preserve">One row per API endpoint</t>
  </si>
  <si>
    <t xml:space="preserve">derived from stg_raw_manifest</t>
  </si>
  <si>
    <t xml:space="preserve">v2 NEW ROW: this is what marts.mart_data_freshness actually is - 64 rows, one per endpoint, built from raw_manifest, describing API RESPONSES. v1 wrongly mapped it to fct_pipeline_run. Renaming it fct_pipeline_run would bake in exactly that confusion. It answers 'how old is this endpoint's data' and 'did an endpoint stop returning rows'.</t>
  </si>
  <si>
    <t xml:space="preserve">One row per Airflow task run</t>
  </si>
  <si>
    <t xml:space="preserve">Airflow metadata DB</t>
  </si>
  <si>
    <t xml:space="preserve">v2 CORRECTION: v1 marked PARTIAL on the assumption mart_data_freshness covered it. It does not - different grain, different source. NOTHING in the repo persists Airflow run history outside Airflow's own metadata DB, so nothing can answer 'did last Sunday's DAG succeed'. Deferred: the alerting path already surfaces failures by email and log, so the value here is historical analysis, not operations.</t>
  </si>
  <si>
    <t xml:space="preserve">One row per dbt test x run</t>
  </si>
  <si>
    <t xml:space="preserve">dbt run_results.json</t>
  </si>
  <si>
    <t xml:space="preserve">v2: moved P1 -&gt; P2 per the audit. dbt already writes run_results.json on every CI and DAG run; persisting it is easy but nothing consumes it yet. When built, it must represent the known issues: provider spelling split, null talent, and the spread-source disagreement.</t>
  </si>
  <si>
    <t xml:space="preserve">One row per endpoint x day</t>
  </si>
  <si>
    <t xml:space="preserve">/info + internal logging</t>
  </si>
  <si>
    <t xml:space="preserve">/info reports quota live; nothing logs it. Backlog C4. Small, and it shows you think about constraints - 4-hourly lines add ~180 calls/month against a 75k tier.</t>
  </si>
  <si>
    <t xml:space="preserve">Serving Views (srv_*)</t>
  </si>
  <si>
    <t xml:space="preserve">Pre-joined wide tables in serving Postgres. Streamlit reads exactly one of these per view, with a WHERE clause and no joins.</t>
  </si>
  <si>
    <t xml:space="preserve">View</t>
  </si>
  <si>
    <t xml:space="preserve">Why it is shaped this way</t>
  </si>
  <si>
    <t xml:space="preserve">srv_today_edges</t>
  </si>
  <si>
    <t xml:space="preserve">game (current week)</t>
  </si>
  <si>
    <t xml:space="preserve">Pre-joined slate + line + prediction + PTL. Single SELECT, no app-side math.</t>
  </si>
  <si>
    <t xml:space="preserve">srv_schedule</t>
  </si>
  <si>
    <t xml:space="preserve">game</t>
  </si>
  <si>
    <t xml:space="preserve">Reads fct_game (one row per game), NOT fct_game_team - see the v1 grain inversion.</t>
  </si>
  <si>
    <t xml:space="preserve">srv_scoreboard</t>
  </si>
  <si>
    <t xml:space="preserve">Carries BOTH card states: pre-game fields (form, ratings, line) and post-game fields (score, winner, cover, excitement). One row, two render paths.</t>
  </si>
  <si>
    <t xml:space="preserve">srv_rankings</t>
  </si>
  <si>
    <t xml:space="preserve">team x season x week</t>
  </si>
  <si>
    <t xml:space="preserve">Long by poll for the individual tabs.</t>
  </si>
  <si>
    <t xml:space="preserve">srv_rankings_compare</t>
  </si>
  <si>
    <t xml:space="preserve">Pre-pivoted wide: one column per poll plus a computed disagreement spread. Pivot in dbt, not Streamlit.</t>
  </si>
  <si>
    <t xml:space="preserve">srv_standings</t>
  </si>
  <si>
    <t xml:space="preserve">team x season</t>
  </si>
  <si>
    <t xml:space="preserve">Carries cfdb's own tiebreak_rank as a column so the app never sorts by business logic. Does not exist on fct_team_record yet.</t>
  </si>
  <si>
    <t xml:space="preserve">srv_team_stats</t>
  </si>
  <si>
    <t xml:space="preserve">team x season x through_week</t>
  </si>
  <si>
    <t xml:space="preserve">Emitted for all four toggle states (team/opponent x raw/adjusted) so the app filters rather than computes.</t>
  </si>
  <si>
    <t xml:space="preserve">srv_player_stats</t>
  </si>
  <si>
    <t xml:space="preserve">player x season</t>
  </si>
  <si>
    <t xml:space="preserve">Wide, already pivoted out of the EAV source.</t>
  </si>
  <si>
    <t xml:space="preserve">srv_teams_index</t>
  </si>
  <si>
    <t xml:space="preserve">Conference-grouped index row. Needs dim_team's colour/logo columns - see Gaps.</t>
  </si>
  <si>
    <t xml:space="preserve">srv_team_overview</t>
  </si>
  <si>
    <t xml:space="preserve">KPI header + profile percentiles precomputed.</t>
  </si>
  <si>
    <t xml:space="preserve">srv_team_game_log</t>
  </si>
  <si>
    <t xml:space="preserve">team x game</t>
  </si>
  <si>
    <t xml:space="preserve">Reads fct_game_team. Prediction vs result vs line, ATS outcome resolved.</t>
  </si>
  <si>
    <t xml:space="preserve">srv_matchup</t>
  </si>
  <si>
    <t xml:space="preserve">The widest view in the model - both teams' ratings, market, model, weather, venue, travel, series history. Deliberately wide: this is the decision surface.</t>
  </si>
  <si>
    <t xml:space="preserve">srv_odds_board</t>
  </si>
  <si>
    <t xml:space="preserve">game x provider (latest snapshot)</t>
  </si>
  <si>
    <t xml:space="preserve">Latest line per game with model columns alongside. Joins dim_provider on provider_key, never provider_raw.</t>
  </si>
  <si>
    <t xml:space="preserve">srv_edge_finder</t>
  </si>
  <si>
    <t xml:space="preserve">game x market</t>
  </si>
  <si>
    <t xml:space="preserve">One row per bettable market with edge, bucket hit rate, n, and Kelly. The sliders filter this; they do not compute it.</t>
  </si>
  <si>
    <t xml:space="preserve">srv_model_performance</t>
  </si>
  <si>
    <t xml:space="preserve">model_version x segment</t>
  </si>
  <si>
    <t xml:space="preserve">Pre-aggregated ATS/ROI/MAE by week, conference, edge bucket, favourite-dog, home-away.</t>
  </si>
  <si>
    <t xml:space="preserve">srv_line_movement</t>
  </si>
  <si>
    <t xml:space="preserve">game x provider x snapshot_ts</t>
  </si>
  <si>
    <t xml:space="preserve">Time series straight off fct_betting_line.</t>
  </si>
  <si>
    <t xml:space="preserve">srv_data_dictionary</t>
  </si>
  <si>
    <t xml:space="preserve">Data Dictionary + Excel</t>
  </si>
  <si>
    <t xml:space="preserve">table x column</t>
  </si>
  <si>
    <t xml:space="preserve">The only view with a single upstream source. Same object feeds the site page and the workbook sheet.</t>
  </si>
  <si>
    <t xml:space="preserve">srv_system_health</t>
  </si>
  <si>
    <t xml:space="preserve">varies</t>
  </si>
  <si>
    <t xml:space="preserve">Union of endpoint freshness, dbt test results, DQ issues and API usage. NOT Airflow run history - nothing captures that.</t>
  </si>
  <si>
    <t xml:space="preserve">Count</t>
  </si>
  <si>
    <t xml:space="preserve">Gaps &amp; Risks</t>
  </si>
  <si>
    <t xml:space="preserve">Severity-ranked. The two CRITICAL rows are the ones that cost something irreversible.</t>
  </si>
  <si>
    <t xml:space="preserve">Severity</t>
  </si>
  <si>
    <t xml:space="preserve">Issue</t>
  </si>
  <si>
    <t xml:space="preserve">Why it matters</t>
  </si>
  <si>
    <t xml:space="preserve">What to do</t>
  </si>
  <si>
    <t xml:space="preserve">CRITICAL</t>
  </si>
  <si>
    <t xml:space="preserve">Line history cannot be backfilled; cadence is @daily today</t>
  </si>
  <si>
    <t xml:space="preserve">/lines returns open + current only. The DAG has run since 2026-08-15 but at @daily, so five-sixths of intraday movement is being lost permanently. CLV is uncomputable without it.</t>
  </si>
  <si>
    <t xml:space="preserve">DECIDED: season-aware cadence. Schedule permanently at 0 */4 * * * UTC and short-circuit outside the window so only the 00:00 run proceeds - daily off-season, 4-hourly in-season, and the schedule never needs a seasonal edit. Window opens 2026-08-20 (7 days before the 2026-08-27 season start) and closes 2027-01-27 (championship Mon 2027-01-25 at Allegiant Stadium; +2 days because a 7:30pm ET kickoff runs past midnight UTC). MUST land before 2026-08-20.</t>
  </si>
  <si>
    <t xml:space="preserve">Point-in-time correctness is the whole game</t>
  </si>
  <si>
    <t xml:space="preserve">If this is ever rebuilt with end-of-season values instead of as-of-week, every backtest silently leaks future information and the model looks far better than it is. The CFBD weekly training CSVs are already correct on this; the risk is losing it in the warehouse.</t>
  </si>
  <si>
    <t xml:space="preserve">Uniqueness test on (team_id, season, week) plus a test that a given week's values never change once written.</t>
  </si>
  <si>
    <t xml:space="preserve">HIGH</t>
  </si>
  <si>
    <t xml:space="preserve">Wireframe depends on colours and logos that the model does not carry</t>
  </si>
  <si>
    <t xml:space="preserve">logos, color and alternate_color are present in the raw /teams payload but were never selected into stg_teams. Wireframe v0.2 uses mascot marks and team-coloured accents throughout, so every one of those elements currently has no source.</t>
  </si>
  <si>
    <t xml:space="preserve">See claude_work/cfdb_team_identity_spec.md. Short version: add the columns, cache logo images rather than hotlinking the third-party CDN, compute contrast-safe variants in dbt, and never use a team colour to ENCODE data - only as identity chrome.</t>
  </si>
  <si>
    <t xml:space="preserve">fct_game / fct_game_team</t>
  </si>
  <si>
    <t xml:space="preserve">v1 of this matrix inverted these two, and it nearly cost a duplicate table</t>
  </si>
  <si>
    <t xml:space="preserve">v1 marked fct_game_team NOT BUILT (P2) and fct_game PARTIAL. Reality is the reverse: mart_team_schedule IS the game x team spine, live with 9 tests and serving the site, while the one-row-per-game grain exists only as a staging view. Building v1 as written would have created a second table at an existing grain.</t>
  </si>
  <si>
    <t xml:space="preserve">RESOLVED in v2. Recorded because it is the reason this workbook must never again be treated as authoritative over a verified audit.</t>
  </si>
  <si>
    <t xml:space="preserve">Standings ordering and tiebreakers do not exist</t>
  </si>
  <si>
    <t xml:space="preserve">CFBD has no standings endpoint, and the live mart derives W-L-T from stg_games without any tiebreak_rank column. Every row order on the Standings page would be arbitrary.</t>
  </si>
  <si>
    <t xml:space="preserve">Add tiebreak_rank computed in dbt, test it, and label it on the page as cfdb logic rather than official. Separately, add a reconciliation test against /records - landed and currently unused.</t>
  </si>
  <si>
    <t xml:space="preserve">Two spellings of DraftKings will silently split the dimension</t>
  </si>
  <si>
    <t xml:space="preserve">Verified in landed responses: DraftKings 2,032 rows and 'Draft Kings' 64 rows are the same book. Unnormalised, dim_provider gains a duplicate member and every provider-level comparison splits without erroring.</t>
  </si>
  <si>
    <t xml:space="preserve">DECIDED: preserve provider_raw exactly as landed, add a mapped provider_key. No blind rename - the mapping stays auditable and reversible. Add a test that FAILS on an unmapped provider_raw so a new sportsbook surfaces loudly.</t>
  </si>
  <si>
    <t xml:space="preserve">Nothing records whether a DAG actually ran</t>
  </si>
  <si>
    <t xml:space="preserve">mart_data_freshness describes API responses, not task runs. No table can answer 'did last Sunday's DAG succeed'. The System Overview page assumes this data exists.</t>
  </si>
  <si>
    <t xml:space="preserve">Deferred to V1.5 - alerting already surfaces failures by email and log, so the value is historical analysis rather than operations. The page must not imply coverage it does not have.</t>
  </si>
  <si>
    <t xml:space="preserve">MEDIUM</t>
  </si>
  <si>
    <t xml:space="preserve">The snapshot DAG fetches but does not load</t>
  </si>
  <si>
    <t xml:space="preserve">12 files on disk, 10 loaded. Loading happens only in the weekly DAGs, so the warehouse can lag disk by a week.</t>
  </si>
  <si>
    <t xml:space="preserve">Add a load step to the snapshot DAG, as a SEPARATE task so a load failure never blocks the next fetch. The fetch is the irreversible part; the load can always catch up.</t>
  </si>
  <si>
    <t xml:space="preserve">/calendar has a hard 2002 floor</t>
  </si>
  <si>
    <t xml:space="preserve">CFBD serves no calendar data before 2002, while stg_games covers 1869-2026. Any week-grain join across deep history loses ~130 seasons.</t>
  </si>
  <si>
    <t xml:space="preserve">Record the floor as a documented model constraint and test for it, so the loss is visible rather than discovered later as missing rows.</t>
  </si>
  <si>
    <t xml:space="preserve">Zero is not zero</t>
  </si>
  <si>
    <t xml:space="preserve">talent = 0.00 for some teams (Air Force) in the CFBD weekly training CSVs. That is missing data. UNVERIFIED against the landed raw table - the audit did not inspect it.</t>
  </si>
  <si>
    <t xml:space="preserve">Verify against raw first, then null in staging with a test, and surface affected teams on System Overview.</t>
  </si>
  <si>
    <t xml:space="preserve">Source is EAV with string values</t>
  </si>
  <si>
    <t xml:space="preserve">/stats/player/season returns category / statType / stat where stat is a STRING. UNVERIFIED - documented but not inspected in the audit.</t>
  </si>
  <si>
    <t xml:space="preserve">Confirm the shape, then land long, type and pivot in dbt, serve wide. dim_stat_category exists for this.</t>
  </si>
  <si>
    <t xml:space="preserve">LOW</t>
  </si>
  <si>
    <t xml:space="preserve">Retrains rewrite history if model version is not in the grain</t>
  </si>
  <si>
    <t xml:space="preserve">Without dim_model_version keyed into the fact, retraining silently changes what the site claims to have predicted, and Model Performance becomes meaningless.</t>
  </si>
  <si>
    <t xml:space="preserve">Append-only on (game_id, model_version_id, prediction_ts).</t>
  </si>
  <si>
    <t xml:space="preserve">RESOLVED</t>
  </si>
  <si>
    <t xml:space="preserve">Endpoint is NOT tier-gated</t>
  </si>
  <si>
    <t xml:space="preserve">v1 flagged /games/weather as historically Patreon-gated and a risk to backlog A2. Verified against the live key: 4 responses, all HTTP 200, up to 3,176 rows landed.</t>
  </si>
  <si>
    <t xml:space="preserve">No action. Weather-adjusted totals can proceed.</t>
  </si>
  <si>
    <t xml:space="preserve">Provider list verified</t>
  </si>
  <si>
    <t xml:space="preserve">v1 listed consensus / Caesars / numberfire / teamrankings as an unverified guess. None of them appear. The real set is ESPN Bet, Bovada and DraftKings.</t>
  </si>
  <si>
    <t xml:space="preserve">No action beyond the spelling normalisation tracked as a HIGH row above.</t>
  </si>
  <si>
    <t xml:space="preserve">Backfill cost is largely already paid</t>
  </si>
  <si>
    <t xml:space="preserve">v1 deferred this to V1.5 warning that a season backfill is 15+ calls per filter. 2024 is already landed - 36 files, ~570k rows - and the measured full 2024-2026 cost is ~1,006,000 plays, ~0.87 GB, about two minutes of API time.</t>
  </si>
  <si>
    <t xml:space="preserve">Promoted to P3. This also makes the still-open Player page materially cheaper than assumed.</t>
  </si>
  <si>
    <t xml:space="preserve">SCD2 was over-engineering</t>
  </si>
  <si>
    <t xml:space="preserve">v1 specified SCD2 on conference. The audit challenged it and the challenge is correct: realignment happens between seasons, stg_teams is already team x season, and no page in wireframe v0.2 asks 'what was true on date D'.</t>
  </si>
  <si>
    <t xml:space="preserve">Season-scoping only. SCD2 rejected.</t>
  </si>
  <si>
    <t xml:space="preserve">OPEN</t>
  </si>
  <si>
    <t xml:space="preserve">fct_play / fct_player_game_stat</t>
  </si>
  <si>
    <t xml:space="preserve">Wireframe v0.2 has no Player page</t>
  </si>
  <si>
    <t xml:space="preserve">The project notes call for play-level drill-down per PLAYER, but v0.2 cut the Players page and never replaced it. Mapped as an interim to tabs inside Stats, Team page and Matchup.</t>
  </si>
  <si>
    <t xml:space="preserve">Decision still needed - and now cheaper than it looked, since 2024 plays are landed.</t>
  </si>
  <si>
    <t xml:space="preserve">Meaning of `spread` in the CFBD training CSVs still unconfirmed</t>
  </si>
  <si>
    <t xml:space="preserve">It carries half-point values so it is a market line, not a game margin, and those files contain no outcome column at all. Marc calls a data dictionary a project requirement partly because of this.</t>
  </si>
  <si>
    <t xml:space="preserve">Chase CFBD's own field documentation at 2026 re-subscribe. Until then the field carries status = unknown in the dictionary rather than a plausible guess.</t>
  </si>
  <si>
    <t xml:space="preserve">Critical</t>
  </si>
  <si>
    <t xml:space="preserve">High</t>
  </si>
  <si>
    <t xml:space="preserve">Resolved</t>
  </si>
  <si>
    <t xml:space="preserve">Build Order</t>
  </si>
  <si>
    <t xml:space="preserve">Table counts are formulas off the Dimensions and Facts sheets — re-phase a table there and these update.</t>
  </si>
  <si>
    <t xml:space="preserve">What ships</t>
  </si>
  <si>
    <t xml:space="preserve">Dims</t>
  </si>
  <si>
    <t xml:space="preserve">Why this order</t>
  </si>
  <si>
    <t xml:space="preserve">fct_poll_rank + dim_poll → Rankings · fct_team_season_stat → Stats · dim_field_metadata → Data Dictionary · fct_dq_test_result → System Overview · fct_prediction + dim_model_version → Edge Finder + Model Performance</t>
  </si>
  <si>
    <t xml:space="preserve">THE NORTH STAR SET. Every table here is PRIMARY on a page that cannot render without it. Building these seven takes the site from 11 of 17 pages rendering to 17 of 17. Four have raw already on disk or a source that already exists; fct_prediction arrives with the Model Starter Package. Nothing here is freeze-constrained — they are new objects and nothing reads them until they exist. Enrichment (fct_team_week_rating and the rest of P2) waits, because it blocks nothing.</t>
  </si>
  <si>
    <t xml:space="preserve">Lines cadence gate (BEFORE 2026-08-20) · fct_*/dim_* rename · dim_conference · dim_venue · dim_season · dim_week · dim_provider · fct_game (promote stg_games) · fct_betting_line · dim_team promotion + colour/logo columns · [already live: fct_game_team, fct_team_record, fct_endpoint_freshness]</t>
  </si>
  <si>
    <t xml:space="preserve">Two items are time-boxed rather than large. The lines cadence gate must land before 2026-08-20 — seven days before the season opener — because intraday line history cannot be backfilled and five-sixths of it is being lost daily at the current @daily cadence. The rename must land before 2026-08-27 per the freeze rule. Everything else in P1 is a normal build.</t>
  </si>
  <si>
    <t xml:space="preserve">dim_poll · dim_stat_category · dim_field_metadata · fct_team_week_rating · fct_team_season_stat · fct_game_team_advanced · fct_poll_rank · fct_drive · fct_player_season_stat · fct_team_talent · fct_returning_production · fct_dq_test_result · fct_api_usage</t>
  </si>
  <si>
    <t xml:space="preserve">The ESPN-parity bulk. fct_team_week_rating is the centre of gravity — it is what the CFBD weekly training CSVs already are, and its snapshot grain is what makes every later backtest trustworthy or worthless.</t>
  </si>
  <si>
    <t xml:space="preserve">dim_athlete · fct_prediction · fct_player_game_stat · fct_game_weather · fct_play</t>
  </si>
  <si>
    <t xml:space="preserve">Predictions land here, which is what turns the site from a stats mirror into a product. fct_play moved up from V1.5: 2024 is already landed and the measured full 2024–2026 cost is ~1M plays / ~0.87 GB / ~2 minutes of API time, so the expensive part is largely paid.</t>
  </si>
  <si>
    <t xml:space="preserve">(no new tables — fct_betting_line has been accruing since P1)</t>
  </si>
  <si>
    <t xml:space="preserve">Line Movement ships. Nothing is built; the DAG has simply run long enough for the page to have something to draw. This row exists to make that visible.</t>
  </si>
  <si>
    <t xml:space="preserve">The betting pages and the Excel export. One new table — by now the facts exist, so this phase is mostly serving views and app work.</t>
  </si>
  <si>
    <t xml:space="preserve">dim_coach · fct_bet · fct_pipeline_run</t>
  </si>
  <si>
    <t xml:space="preserve">Deferred. fct_bet is manual entry with no visibility into the actual book. fct_pipeline_run is real work (Airflow metadata extraction) whose value is historical analysis — alerting already covers operations.</t>
  </si>
  <si>
    <t xml:space="preserve">Total tables</t>
  </si>
  <si>
    <t xml:space="preserve">v1 -&gt; v2 Changes</t>
  </si>
  <si>
    <t xml:space="preserve">Every correction the reconciliation audit forced. Read this before trusting any memory of v1.</t>
  </si>
  <si>
    <t xml:space="preserve">Type</t>
  </si>
  <si>
    <t xml:space="preserve">v1 said</t>
  </si>
  <si>
    <t xml:space="preserve">v2 says</t>
  </si>
  <si>
    <t xml:space="preserve">Why</t>
  </si>
  <si>
    <t xml:space="preserve">CORRECTION</t>
  </si>
  <si>
    <t xml:space="preserve">NOT BUILT / P2</t>
  </si>
  <si>
    <t xml:space="preserve">LIVE / P1</t>
  </si>
  <si>
    <t xml:space="preserve">THE HEADLINE ERROR. mart_team_schedule (220,204 rows = 2 x games, 9 tests, serving the site) IS this table. Building v1 as written would have duplicated a live production table.</t>
  </si>
  <si>
    <t xml:space="preserve">PARTIAL / P1</t>
  </si>
  <si>
    <t xml:space="preserve">NOT BUILT / P1</t>
  </si>
  <si>
    <t xml:space="preserve">PARTIAL implied most of the work was done. No mart at one-row-per-game exists; the grain lives only in the stg_games view.</t>
  </si>
  <si>
    <t xml:space="preserve">NOT BUILT / V1.5</t>
  </si>
  <si>
    <t xml:space="preserve">mart_data_freshness does not cover it - different grain (endpoint, not task run) and different source (API responses, not Airflow metadata).</t>
  </si>
  <si>
    <t xml:space="preserve">NEW ROW</t>
  </si>
  <si>
    <t xml:space="preserve">-</t>
  </si>
  <si>
    <t xml:space="preserve">What mart_data_freshness actually is. Split out so the grain confusion cannot be re-inherited via a rename.</t>
  </si>
  <si>
    <t xml:space="preserve">ASSUMED / P1</t>
  </si>
  <si>
    <t xml:space="preserve">Does not exist in any form. Conference is a text column on stg_teams. ASSUMED implied 'probably covered'.</t>
  </si>
  <si>
    <t xml:space="preserve">ASSUMED, SCD2</t>
  </si>
  <si>
    <t xml:space="preserve">PARTIAL, season-scoped</t>
  </si>
  <si>
    <t xml:space="preserve">Exists as a staging VIEW at the right grain, but missing logos/color/alternate_color. SCD2 rejected as over-engineering.</t>
  </si>
  <si>
    <t xml:space="preserve">SOURCE FIX</t>
  </si>
  <si>
    <t xml:space="preserve">source: /records</t>
  </si>
  <si>
    <t xml:space="preserve">source: derived from stg_games</t>
  </si>
  <si>
    <t xml:space="preserve">The live mart unpivots home/away from games. /records is landed and unused. Changes the shape of the standings gap.</t>
  </si>
  <si>
    <t xml:space="preserve">PHASE</t>
  </si>
  <si>
    <t xml:space="preserve">2024 already landed (~570k rows); measured full 2024-2026 cost is ~1M plays / ~0.87 GB / ~2 min of API time.</t>
  </si>
  <si>
    <t xml:space="preserve">Still a requirement, but all 6 models already carry schema.yml descriptions and dbt docs covers the need until there are more tables.</t>
  </si>
  <si>
    <t xml:space="preserve">dbt already writes run_results.json every run; nothing consumes it yet.</t>
  </si>
  <si>
    <t xml:space="preserve">GAP CLOSED</t>
  </si>
  <si>
    <t xml:space="preserve">UNVERIFIED tier-gating</t>
  </si>
  <si>
    <t xml:space="preserve">NOT gated</t>
  </si>
  <si>
    <t xml:space="preserve">4 responses, HTTP 200, 3,176 rows on the live key.</t>
  </si>
  <si>
    <t xml:space="preserve">4 guessed providers</t>
  </si>
  <si>
    <t xml:space="preserve">3 real providers</t>
  </si>
  <si>
    <t xml:space="preserve">ESPN Bet / Bovada / DraftKings. None of the guesses appear. New defect found: two DraftKings spellings.</t>
  </si>
  <si>
    <t xml:space="preserve">NEW GAP</t>
  </si>
  <si>
    <t xml:space="preserve">2002 floor</t>
  </si>
  <si>
    <t xml:space="preserve">/calendar serves nothing before 2002 while stg_games covers 1869-2026.</t>
  </si>
  <si>
    <t xml:space="preserve">colour/logo columns absent</t>
  </si>
  <si>
    <t xml:space="preserve">Wireframe v0.2 depends on team marks and colours that the model does not carry.</t>
  </si>
  <si>
    <t xml:space="preserve">DAG fetches without loading</t>
  </si>
  <si>
    <t xml:space="preserve">Warehouse can lag disk by a week. Raw files are the durable history, so only the fetch cadence is irreversible.</t>
  </si>
  <si>
    <t xml:space="preserve">DECIDED</t>
  </si>
  <si>
    <t xml:space="preserve">4-hourly always</t>
  </si>
  <si>
    <t xml:space="preserve">season-aware, 2026-08-20 to 2027-01-27</t>
  </si>
  <si>
    <t xml:space="preserve">Championship confirmed Mon 2027-01-25 at Allegiant Stadium; window closes +2 days for the UTC overrun.</t>
  </si>
  <si>
    <t xml:space="preserve">Corrections</t>
  </si>
  <si>
    <t xml:space="preserve">Total changes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</si>
</sst>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sz val="8"/>
      <color rgb="FF6B6B6B"/>
      <name val="Arial"/>
      <family val="0"/>
      <charset val="1"/>
    </font>
    <font>
      <b val="true"/>
      <sz val="8"/>
      <color rgb="FF6B6B6B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2A63"/>
      </patternFill>
    </fill>
    <fill>
      <patternFill patternType="solid">
        <fgColor rgb="FF4A3AA7"/>
        <bgColor rgb="FF402A63"/>
      </patternFill>
    </fill>
    <fill>
      <patternFill patternType="solid">
        <fgColor rgb="FF1B5E20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name val="Arial"/>
        <charset val="1"/>
        <family val="0"/>
        <b val="1"/>
        <color rgb="FFFFFFFF"/>
        <sz val="9"/>
      </font>
      <fill>
        <patternFill>
          <bgColor rgb="FF1F3864"/>
        </patternFill>
      </fill>
    </dxf>
    <dxf>
      <font>
        <name val="Arial"/>
        <charset val="1"/>
        <family val="0"/>
        <color rgb="FF0B0B0B"/>
        <sz val="9"/>
      </font>
      <fill>
        <patternFill>
          <bgColor rgb="FF9DC3E6"/>
        </patternFill>
      </fill>
    </dxf>
    <dxf>
      <font>
        <name val="Arial"/>
        <charset val="1"/>
        <family val="0"/>
        <color rgb="FF402A63"/>
        <sz val="9"/>
      </font>
      <fill>
        <patternFill>
          <bgColor rgb="FFE2D9F3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b val="1"/>
        <color rgb="FF1B5E20"/>
        <sz val="9"/>
      </font>
      <fill>
        <patternFill>
          <bgColor rgb="FFC6E0B4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ont>
        <name val="Arial"/>
        <charset val="1"/>
        <family val="0"/>
        <b val="1"/>
        <color rgb="FF6B5008"/>
        <sz val="9"/>
      </font>
      <fill>
        <patternFill>
          <bgColor rgb="FFFFE699"/>
        </patternFill>
      </fill>
    </dxf>
    <dxf>
      <font>
        <name val="Arial"/>
        <charset val="1"/>
        <family val="0"/>
        <color rgb="FF6B6B6B"/>
        <sz val="9"/>
      </font>
      <fill>
        <patternFill>
          <bgColor rgb="FFF2F2F2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402A63"/>
          <bgColor rgb="FF000000"/>
        </patternFill>
      </fill>
    </dxf>
    <dxf>
      <fill>
        <patternFill patternType="solid">
          <fgColor rgb="FF6B5008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1F3864"/>
        <sz val="9"/>
      </font>
      <fill>
        <patternFill>
          <bgColor rgb="FFD9E2F3"/>
        </patternFill>
      </fill>
    </dxf>
    <dxf>
      <font>
        <name val="Arial"/>
        <charset val="1"/>
        <family val="0"/>
        <b val="1"/>
        <color rgb="FF402A63"/>
        <sz val="9"/>
      </font>
      <fill>
        <patternFill>
          <bgColor rgb="FFE2D9F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864"/>
      <rgbColor rgb="FF339966"/>
      <rgbColor rgb="FF0B0B0B"/>
      <rgbColor rgb="FF1A1A1A"/>
      <rgbColor rgb="FF6B5008"/>
      <rgbColor rgb="FF993366"/>
      <rgbColor rgb="FF4A3AA7"/>
      <rgbColor rgb="FF402A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23.85" hidden="false" customHeight="false" outlineLevel="0" collapsed="false">
      <c r="A6" s="3"/>
      <c r="B6" s="4" t="s">
        <v>3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4</v>
      </c>
      <c r="B8" s="4"/>
    </row>
    <row r="9" customFormat="false" ht="23.85" hidden="false" customHeight="false" outlineLevel="0" collapsed="false">
      <c r="A9" s="3" t="s">
        <v>5</v>
      </c>
      <c r="B9" s="4" t="s">
        <v>6</v>
      </c>
    </row>
    <row r="10" customFormat="false" ht="23.85" hidden="false" customHeight="false" outlineLevel="0" collapsed="false">
      <c r="A10" s="3" t="s">
        <v>7</v>
      </c>
      <c r="B10" s="4" t="s">
        <v>8</v>
      </c>
    </row>
    <row r="11" customFormat="false" ht="23.85" hidden="false" customHeight="false" outlineLevel="0" collapsed="false">
      <c r="A11" s="3" t="s">
        <v>9</v>
      </c>
      <c r="B11" s="4" t="s">
        <v>10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11</v>
      </c>
      <c r="B13" s="4"/>
    </row>
    <row r="14" customFormat="false" ht="15" hidden="false" customHeight="false" outlineLevel="0" collapsed="false">
      <c r="A14" s="6" t="s">
        <v>12</v>
      </c>
      <c r="B14" s="4" t="s">
        <v>13</v>
      </c>
    </row>
    <row r="15" customFormat="false" ht="15" hidden="false" customHeight="false" outlineLevel="0" collapsed="false">
      <c r="A15" s="6" t="s">
        <v>14</v>
      </c>
      <c r="B15" s="4" t="s">
        <v>15</v>
      </c>
    </row>
    <row r="16" customFormat="false" ht="15" hidden="false" customHeight="false" outlineLevel="0" collapsed="false">
      <c r="A16" s="6" t="s">
        <v>16</v>
      </c>
      <c r="B16" s="4" t="s">
        <v>17</v>
      </c>
    </row>
    <row r="17" customFormat="false" ht="15" hidden="false" customHeight="false" outlineLevel="0" collapsed="false">
      <c r="A17" s="6" t="s">
        <v>18</v>
      </c>
      <c r="B17" s="4" t="s">
        <v>19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5" t="s">
        <v>20</v>
      </c>
      <c r="B19" s="4"/>
    </row>
    <row r="20" customFormat="false" ht="15" hidden="false" customHeight="false" outlineLevel="0" collapsed="false">
      <c r="A20" s="6" t="s">
        <v>21</v>
      </c>
      <c r="B20" s="4" t="s">
        <v>22</v>
      </c>
    </row>
    <row r="21" customFormat="false" ht="15" hidden="false" customHeight="false" outlineLevel="0" collapsed="false">
      <c r="A21" s="6" t="s">
        <v>23</v>
      </c>
      <c r="B21" s="4" t="s">
        <v>24</v>
      </c>
    </row>
    <row r="22" customFormat="false" ht="15" hidden="false" customHeight="false" outlineLevel="0" collapsed="false">
      <c r="A22" s="6" t="s">
        <v>25</v>
      </c>
      <c r="B22" s="4" t="s">
        <v>26</v>
      </c>
    </row>
    <row r="23" customFormat="false" ht="15" hidden="false" customHeight="false" outlineLevel="0" collapsed="false">
      <c r="A23" s="6" t="s">
        <v>27</v>
      </c>
      <c r="B23" s="4" t="s">
        <v>28</v>
      </c>
    </row>
    <row r="24" customFormat="false" ht="15" hidden="false" customHeight="false" outlineLevel="0" collapsed="false">
      <c r="A24" s="3"/>
      <c r="B24" s="4"/>
    </row>
    <row r="25" customFormat="false" ht="15" hidden="false" customHeight="false" outlineLevel="0" collapsed="false">
      <c r="A25" s="3" t="s">
        <v>29</v>
      </c>
      <c r="B25" s="4"/>
    </row>
    <row r="26" customFormat="false" ht="35.05" hidden="false" customHeight="false" outlineLevel="0" collapsed="false">
      <c r="A26" s="3"/>
      <c r="B26" s="4" t="s">
        <v>30</v>
      </c>
    </row>
    <row r="27" customFormat="false" ht="15" hidden="false" customHeight="false" outlineLevel="0" collapsed="false">
      <c r="A27" s="3"/>
      <c r="B27" s="4"/>
    </row>
    <row r="28" customFormat="false" ht="15" hidden="false" customHeight="false" outlineLevel="0" collapsed="false">
      <c r="A28" s="5" t="s">
        <v>31</v>
      </c>
      <c r="B28" s="4"/>
    </row>
    <row r="29" customFormat="false" ht="35.05" hidden="false" customHeight="false" outlineLevel="0" collapsed="false">
      <c r="A29" s="3"/>
      <c r="B29" s="4" t="s">
        <v>32</v>
      </c>
    </row>
    <row r="30" customFormat="false" ht="15" hidden="false" customHeight="false" outlineLevel="0" collapsed="false">
      <c r="A30" s="3"/>
      <c r="B30" s="4"/>
    </row>
    <row r="31" customFormat="false" ht="15" hidden="false" customHeight="false" outlineLevel="0" collapsed="false">
      <c r="A31" s="5" t="s">
        <v>33</v>
      </c>
      <c r="B31" s="4"/>
    </row>
    <row r="32" customFormat="false" ht="15" hidden="false" customHeight="false" outlineLevel="0" collapsed="false">
      <c r="A32" s="3" t="s">
        <v>34</v>
      </c>
      <c r="B32" s="4" t="s">
        <v>35</v>
      </c>
    </row>
    <row r="33" customFormat="false" ht="15" hidden="false" customHeight="false" outlineLevel="0" collapsed="false">
      <c r="A33" s="3" t="s">
        <v>36</v>
      </c>
      <c r="B33" s="4" t="s">
        <v>37</v>
      </c>
    </row>
    <row r="34" customFormat="false" ht="15" hidden="false" customHeight="false" outlineLevel="0" collapsed="false">
      <c r="A34" s="3" t="s">
        <v>38</v>
      </c>
      <c r="B34" s="4" t="s">
        <v>39</v>
      </c>
    </row>
    <row r="35" customFormat="false" ht="15" hidden="false" customHeight="false" outlineLevel="0" collapsed="false">
      <c r="A35" s="3" t="s">
        <v>40</v>
      </c>
      <c r="B35" s="4" t="s">
        <v>41</v>
      </c>
    </row>
    <row r="36" customFormat="false" ht="15" hidden="false" customHeight="false" outlineLevel="0" collapsed="false">
      <c r="A36" s="3"/>
      <c r="B36" s="4"/>
    </row>
    <row r="37" customFormat="false" ht="15" hidden="false" customHeight="false" outlineLevel="0" collapsed="false">
      <c r="A37" s="5" t="s">
        <v>42</v>
      </c>
      <c r="B37" s="4"/>
    </row>
    <row r="38" customFormat="false" ht="15" hidden="false" customHeight="false" outlineLevel="0" collapsed="false">
      <c r="A38" s="3" t="s">
        <v>43</v>
      </c>
      <c r="B38" s="4" t="s">
        <v>44</v>
      </c>
    </row>
    <row r="39" customFormat="false" ht="15" hidden="false" customHeight="false" outlineLevel="0" collapsed="false">
      <c r="A39" s="3" t="s">
        <v>45</v>
      </c>
      <c r="B39" s="4" t="s">
        <v>46</v>
      </c>
    </row>
    <row r="40" customFormat="false" ht="15" hidden="false" customHeight="false" outlineLevel="0" collapsed="false">
      <c r="A40" s="3" t="s">
        <v>47</v>
      </c>
      <c r="B40" s="4" t="s">
        <v>48</v>
      </c>
    </row>
    <row r="41" customFormat="false" ht="15" hidden="false" customHeight="false" outlineLevel="0" collapsed="false">
      <c r="A41" s="3" t="s">
        <v>49</v>
      </c>
      <c r="B41" s="4" t="s">
        <v>50</v>
      </c>
    </row>
    <row r="42" customFormat="false" ht="15" hidden="false" customHeight="false" outlineLevel="0" collapsed="false">
      <c r="A42" s="3" t="s">
        <v>51</v>
      </c>
      <c r="B42" s="4" t="s">
        <v>52</v>
      </c>
    </row>
    <row r="43" customFormat="false" ht="15" hidden="false" customHeight="false" outlineLevel="0" collapsed="false">
      <c r="A43" s="3" t="s">
        <v>53</v>
      </c>
      <c r="B43" s="4" t="s">
        <v>54</v>
      </c>
    </row>
    <row r="44" customFormat="false" ht="15" hidden="false" customHeight="false" outlineLevel="0" collapsed="false">
      <c r="A44" s="3" t="s">
        <v>55</v>
      </c>
      <c r="B44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36" min="4" style="0" width="4.2"/>
    <col collapsed="false" customWidth="true" hidden="false" outlineLevel="0" max="41" min="37" style="0" width="8"/>
    <col collapsed="false" customWidth="true" hidden="false" outlineLevel="0" max="42" min="42" style="0" width="34"/>
  </cols>
  <sheetData>
    <row r="1" customFormat="false" ht="18.5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17.75" hidden="false" customHeight="true" outlineLevel="0" collapsed="false">
      <c r="A4" s="7" t="s">
        <v>59</v>
      </c>
      <c r="B4" s="7" t="s">
        <v>60</v>
      </c>
      <c r="C4" s="7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  <c r="J4" s="8" t="s">
        <v>68</v>
      </c>
      <c r="K4" s="8" t="s">
        <v>69</v>
      </c>
      <c r="L4" s="8" t="s">
        <v>70</v>
      </c>
      <c r="M4" s="8" t="s">
        <v>71</v>
      </c>
      <c r="N4" s="8" t="s">
        <v>72</v>
      </c>
      <c r="O4" s="8" t="s">
        <v>73</v>
      </c>
      <c r="P4" s="9" t="s">
        <v>74</v>
      </c>
      <c r="Q4" s="9" t="s">
        <v>75</v>
      </c>
      <c r="R4" s="9" t="s">
        <v>76</v>
      </c>
      <c r="S4" s="9" t="s">
        <v>77</v>
      </c>
      <c r="T4" s="9" t="s">
        <v>78</v>
      </c>
      <c r="U4" s="9" t="s">
        <v>79</v>
      </c>
      <c r="V4" s="9" t="s">
        <v>80</v>
      </c>
      <c r="W4" s="9" t="s">
        <v>81</v>
      </c>
      <c r="X4" s="9" t="s">
        <v>82</v>
      </c>
      <c r="Y4" s="9" t="s">
        <v>83</v>
      </c>
      <c r="Z4" s="9" t="s">
        <v>84</v>
      </c>
      <c r="AA4" s="9" t="s">
        <v>85</v>
      </c>
      <c r="AB4" s="9" t="s">
        <v>86</v>
      </c>
      <c r="AC4" s="9" t="s">
        <v>87</v>
      </c>
      <c r="AD4" s="9" t="s">
        <v>88</v>
      </c>
      <c r="AE4" s="9" t="s">
        <v>89</v>
      </c>
      <c r="AF4" s="9" t="s">
        <v>90</v>
      </c>
      <c r="AG4" s="9" t="s">
        <v>91</v>
      </c>
      <c r="AH4" s="9" t="s">
        <v>92</v>
      </c>
      <c r="AI4" s="9" t="s">
        <v>93</v>
      </c>
      <c r="AJ4" s="9" t="s">
        <v>94</v>
      </c>
      <c r="AK4" s="7" t="s">
        <v>12</v>
      </c>
      <c r="AL4" s="7" t="s">
        <v>14</v>
      </c>
      <c r="AM4" s="7" t="s">
        <v>16</v>
      </c>
      <c r="AN4" s="7" t="s">
        <v>95</v>
      </c>
      <c r="AO4" s="7" t="s">
        <v>96</v>
      </c>
      <c r="AP4" s="7" t="s">
        <v>97</v>
      </c>
    </row>
    <row r="5" customFormat="false" ht="15" hidden="false" customHeight="false" outlineLevel="0" collapsed="false">
      <c r="A5" s="10" t="s">
        <v>98</v>
      </c>
      <c r="B5" s="11" t="s">
        <v>99</v>
      </c>
      <c r="C5" s="12" t="s">
        <v>74</v>
      </c>
      <c r="D5" s="11" t="s">
        <v>16</v>
      </c>
      <c r="E5" s="11" t="s">
        <v>16</v>
      </c>
      <c r="F5" s="11"/>
      <c r="G5" s="11" t="s">
        <v>16</v>
      </c>
      <c r="H5" s="11" t="s">
        <v>16</v>
      </c>
      <c r="I5" s="11"/>
      <c r="J5" s="11"/>
      <c r="K5" s="11"/>
      <c r="L5" s="11"/>
      <c r="M5" s="11"/>
      <c r="N5" s="11"/>
      <c r="O5" s="11"/>
      <c r="P5" s="11" t="s">
        <v>12</v>
      </c>
      <c r="Q5" s="11"/>
      <c r="R5" s="11"/>
      <c r="S5" s="11"/>
      <c r="T5" s="11"/>
      <c r="U5" s="11"/>
      <c r="V5" s="11" t="s">
        <v>14</v>
      </c>
      <c r="W5" s="11" t="s">
        <v>14</v>
      </c>
      <c r="X5" s="11" t="s">
        <v>14</v>
      </c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 t="n">
        <f aca="false">COUNTIF(D5:AJ5,"P")</f>
        <v>1</v>
      </c>
      <c r="AL5" s="11" t="n">
        <f aca="false">COUNTIF(D5:AJ5,"S")</f>
        <v>3</v>
      </c>
      <c r="AM5" s="11" t="n">
        <f aca="false">COUNTIF(D5:AJ5,"D")</f>
        <v>4</v>
      </c>
      <c r="AN5" s="11" t="n">
        <f aca="false">COUNTA(D5:AJ5)</f>
        <v>8</v>
      </c>
      <c r="AO5" s="13" t="n">
        <f aca="false">IF(COUNTA(D5:AJ5)=0,"",(SUMPRODUCT(--(D5:AJ5&lt;&gt;""),--($D$23:$AJ$23="LIVE"))+SUMPRODUCT(--(D5:AJ5&lt;&gt;""),--($D$23:$AJ$23="PARTIAL")))/COUNTA(D5:AJ5))</f>
        <v>0.75</v>
      </c>
      <c r="AP5" s="11" t="s">
        <v>100</v>
      </c>
    </row>
    <row r="6" customFormat="false" ht="15" hidden="false" customHeight="false" outlineLevel="0" collapsed="false">
      <c r="A6" s="10" t="s">
        <v>101</v>
      </c>
      <c r="B6" s="11" t="s">
        <v>99</v>
      </c>
      <c r="C6" s="12" t="s">
        <v>74</v>
      </c>
      <c r="D6" s="11" t="s">
        <v>16</v>
      </c>
      <c r="E6" s="11" t="s">
        <v>16</v>
      </c>
      <c r="F6" s="11" t="s">
        <v>16</v>
      </c>
      <c r="G6" s="11" t="s">
        <v>16</v>
      </c>
      <c r="H6" s="11" t="s">
        <v>16</v>
      </c>
      <c r="I6" s="11"/>
      <c r="J6" s="11"/>
      <c r="K6" s="11"/>
      <c r="L6" s="11"/>
      <c r="M6" s="11"/>
      <c r="N6" s="11"/>
      <c r="O6" s="11"/>
      <c r="P6" s="11" t="s">
        <v>12</v>
      </c>
      <c r="Q6" s="11"/>
      <c r="R6" s="11"/>
      <c r="S6" s="11"/>
      <c r="T6" s="11"/>
      <c r="U6" s="11"/>
      <c r="V6" s="11"/>
      <c r="W6" s="11" t="s">
        <v>14</v>
      </c>
      <c r="X6" s="11" t="s">
        <v>14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 t="n">
        <f aca="false">COUNTIF(D6:AJ6,"P")</f>
        <v>1</v>
      </c>
      <c r="AL6" s="11" t="n">
        <f aca="false">COUNTIF(D6:AJ6,"S")</f>
        <v>2</v>
      </c>
      <c r="AM6" s="11" t="n">
        <f aca="false">COUNTIF(D6:AJ6,"D")</f>
        <v>5</v>
      </c>
      <c r="AN6" s="11" t="n">
        <f aca="false">COUNTA(D6:AJ6)</f>
        <v>8</v>
      </c>
      <c r="AO6" s="13" t="n">
        <f aca="false">IF(COUNTA(D6:AJ6)=0,"",(SUMPRODUCT(--(D6:AJ6&lt;&gt;""),--($D$23:$AJ$23="LIVE"))+SUMPRODUCT(--(D6:AJ6&lt;&gt;""),--($D$23:$AJ$23="PARTIAL")))/COUNTA(D6:AJ6))</f>
        <v>0.875</v>
      </c>
      <c r="AP6" s="11" t="s">
        <v>100</v>
      </c>
    </row>
    <row r="7" customFormat="false" ht="15" hidden="false" customHeight="false" outlineLevel="0" collapsed="false">
      <c r="A7" s="10" t="s">
        <v>102</v>
      </c>
      <c r="B7" s="11" t="s">
        <v>99</v>
      </c>
      <c r="C7" s="12" t="s">
        <v>74</v>
      </c>
      <c r="D7" s="11" t="s">
        <v>16</v>
      </c>
      <c r="E7" s="11" t="s">
        <v>16</v>
      </c>
      <c r="F7" s="11"/>
      <c r="G7" s="11" t="s">
        <v>16</v>
      </c>
      <c r="H7" s="11" t="s">
        <v>16</v>
      </c>
      <c r="I7" s="11"/>
      <c r="J7" s="11"/>
      <c r="K7" s="11"/>
      <c r="L7" s="11"/>
      <c r="M7" s="11"/>
      <c r="N7" s="11"/>
      <c r="O7" s="11"/>
      <c r="P7" s="11" t="s">
        <v>12</v>
      </c>
      <c r="Q7" s="11" t="s">
        <v>14</v>
      </c>
      <c r="R7" s="11"/>
      <c r="S7" s="11" t="s">
        <v>14</v>
      </c>
      <c r="T7" s="11"/>
      <c r="U7" s="11" t="s">
        <v>14</v>
      </c>
      <c r="V7" s="11"/>
      <c r="W7" s="11" t="s">
        <v>14</v>
      </c>
      <c r="X7" s="11" t="s">
        <v>14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 t="n">
        <f aca="false">COUNTIF(D7:AJ7,"P")</f>
        <v>1</v>
      </c>
      <c r="AL7" s="11" t="n">
        <f aca="false">COUNTIF(D7:AJ7,"S")</f>
        <v>5</v>
      </c>
      <c r="AM7" s="11" t="n">
        <f aca="false">COUNTIF(D7:AJ7,"D")</f>
        <v>4</v>
      </c>
      <c r="AN7" s="11" t="n">
        <f aca="false">COUNTA(D7:AJ7)</f>
        <v>10</v>
      </c>
      <c r="AO7" s="13" t="n">
        <f aca="false">IF(COUNTA(D7:AJ7)=0,"",(SUMPRODUCT(--(D7:AJ7&lt;&gt;""),--($D$23:$AJ$23="LIVE"))+SUMPRODUCT(--(D7:AJ7&lt;&gt;""),--($D$23:$AJ$23="PARTIAL")))/COUNTA(D7:AJ7))</f>
        <v>0.8</v>
      </c>
      <c r="AP7" s="11" t="s">
        <v>100</v>
      </c>
    </row>
    <row r="8" customFormat="false" ht="15" hidden="false" customHeight="false" outlineLevel="0" collapsed="false">
      <c r="A8" s="10" t="s">
        <v>103</v>
      </c>
      <c r="B8" s="11" t="s">
        <v>104</v>
      </c>
      <c r="C8" s="12" t="s">
        <v>80</v>
      </c>
      <c r="D8" s="11" t="s">
        <v>16</v>
      </c>
      <c r="E8" s="11" t="s">
        <v>16</v>
      </c>
      <c r="F8" s="11"/>
      <c r="G8" s="11" t="s">
        <v>16</v>
      </c>
      <c r="H8" s="11" t="s">
        <v>16</v>
      </c>
      <c r="I8" s="11"/>
      <c r="J8" s="11"/>
      <c r="K8" s="11" t="s">
        <v>16</v>
      </c>
      <c r="L8" s="11"/>
      <c r="M8" s="11"/>
      <c r="N8" s="11"/>
      <c r="O8" s="11"/>
      <c r="P8" s="11" t="s">
        <v>14</v>
      </c>
      <c r="Q8" s="11"/>
      <c r="R8" s="11"/>
      <c r="S8" s="11" t="s">
        <v>14</v>
      </c>
      <c r="T8" s="11"/>
      <c r="U8" s="11"/>
      <c r="V8" s="11" t="s">
        <v>12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 t="n">
        <f aca="false">COUNTIF(D8:AJ8,"P")</f>
        <v>1</v>
      </c>
      <c r="AL8" s="11" t="n">
        <f aca="false">COUNTIF(D8:AJ8,"S")</f>
        <v>2</v>
      </c>
      <c r="AM8" s="11" t="n">
        <f aca="false">COUNTIF(D8:AJ8,"D")</f>
        <v>5</v>
      </c>
      <c r="AN8" s="11" t="n">
        <f aca="false">COUNTA(D8:AJ8)</f>
        <v>8</v>
      </c>
      <c r="AO8" s="13" t="n">
        <f aca="false">IF(COUNTA(D8:AJ8)=0,"",(SUMPRODUCT(--(D8:AJ8&lt;&gt;""),--($D$23:$AJ$23="LIVE"))+SUMPRODUCT(--(D8:AJ8&lt;&gt;""),--($D$23:$AJ$23="PARTIAL")))/COUNTA(D8:AJ8))</f>
        <v>0.625</v>
      </c>
      <c r="AP8" s="11" t="s">
        <v>105</v>
      </c>
    </row>
    <row r="9" customFormat="false" ht="15" hidden="false" customHeight="false" outlineLevel="0" collapsed="false">
      <c r="A9" s="10" t="s">
        <v>106</v>
      </c>
      <c r="B9" s="11" t="s">
        <v>99</v>
      </c>
      <c r="C9" s="12" t="s">
        <v>79</v>
      </c>
      <c r="D9" s="11" t="s">
        <v>16</v>
      </c>
      <c r="E9" s="11" t="s">
        <v>16</v>
      </c>
      <c r="F9" s="11"/>
      <c r="G9" s="11" t="s">
        <v>16</v>
      </c>
      <c r="H9" s="11"/>
      <c r="I9" s="11"/>
      <c r="J9" s="11"/>
      <c r="K9" s="11"/>
      <c r="L9" s="11"/>
      <c r="M9" s="11"/>
      <c r="N9" s="11"/>
      <c r="O9" s="11"/>
      <c r="P9" s="11" t="s">
        <v>14</v>
      </c>
      <c r="Q9" s="11"/>
      <c r="R9" s="11"/>
      <c r="S9" s="11" t="s">
        <v>14</v>
      </c>
      <c r="T9" s="11"/>
      <c r="U9" s="11" t="s">
        <v>12</v>
      </c>
      <c r="V9" s="11" t="s">
        <v>14</v>
      </c>
      <c r="W9" s="11" t="s">
        <v>14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 t="n">
        <f aca="false">COUNTIF(D9:AJ9,"P")</f>
        <v>1</v>
      </c>
      <c r="AL9" s="11" t="n">
        <f aca="false">COUNTIF(D9:AJ9,"S")</f>
        <v>4</v>
      </c>
      <c r="AM9" s="11" t="n">
        <f aca="false">COUNTIF(D9:AJ9,"D")</f>
        <v>3</v>
      </c>
      <c r="AN9" s="11" t="n">
        <f aca="false">COUNTA(D9:AJ9)</f>
        <v>8</v>
      </c>
      <c r="AO9" s="13" t="n">
        <f aca="false">IF(COUNTA(D9:AJ9)=0,"",(SUMPRODUCT(--(D9:AJ9&lt;&gt;""),--($D$23:$AJ$23="LIVE"))+SUMPRODUCT(--(D9:AJ9&lt;&gt;""),--($D$23:$AJ$23="PARTIAL")))/COUNTA(D9:AJ9))</f>
        <v>0.75</v>
      </c>
      <c r="AP9" s="11" t="s">
        <v>100</v>
      </c>
    </row>
    <row r="10" customFormat="false" ht="15" hidden="false" customHeight="false" outlineLevel="0" collapsed="false">
      <c r="A10" s="10" t="s">
        <v>107</v>
      </c>
      <c r="B10" s="11" t="s">
        <v>104</v>
      </c>
      <c r="C10" s="12" t="s">
        <v>78</v>
      </c>
      <c r="D10" s="11" t="s">
        <v>16</v>
      </c>
      <c r="E10" s="11" t="s">
        <v>16</v>
      </c>
      <c r="F10" s="11"/>
      <c r="G10" s="11" t="s">
        <v>16</v>
      </c>
      <c r="H10" s="11" t="s">
        <v>16</v>
      </c>
      <c r="I10" s="11"/>
      <c r="J10" s="11" t="s">
        <v>16</v>
      </c>
      <c r="K10" s="11"/>
      <c r="L10" s="11"/>
      <c r="M10" s="11"/>
      <c r="N10" s="11" t="s">
        <v>16</v>
      </c>
      <c r="O10" s="11"/>
      <c r="P10" s="11"/>
      <c r="Q10" s="11"/>
      <c r="R10" s="11" t="s">
        <v>14</v>
      </c>
      <c r="S10" s="11" t="s">
        <v>14</v>
      </c>
      <c r="T10" s="11" t="s">
        <v>12</v>
      </c>
      <c r="U10" s="11"/>
      <c r="V10" s="11"/>
      <c r="W10" s="11"/>
      <c r="X10" s="11"/>
      <c r="Y10" s="11" t="s">
        <v>14</v>
      </c>
      <c r="Z10" s="11" t="s">
        <v>14</v>
      </c>
      <c r="AA10" s="11" t="s">
        <v>14</v>
      </c>
      <c r="AB10" s="11" t="s">
        <v>14</v>
      </c>
      <c r="AC10" s="11"/>
      <c r="AD10" s="11"/>
      <c r="AE10" s="11"/>
      <c r="AF10" s="11"/>
      <c r="AG10" s="11"/>
      <c r="AH10" s="11"/>
      <c r="AI10" s="11"/>
      <c r="AJ10" s="11"/>
      <c r="AK10" s="11" t="n">
        <f aca="false">COUNTIF(D10:AJ10,"P")</f>
        <v>1</v>
      </c>
      <c r="AL10" s="11" t="n">
        <f aca="false">COUNTIF(D10:AJ10,"S")</f>
        <v>6</v>
      </c>
      <c r="AM10" s="11" t="n">
        <f aca="false">COUNTIF(D10:AJ10,"D")</f>
        <v>6</v>
      </c>
      <c r="AN10" s="11" t="n">
        <f aca="false">COUNTA(D10:AJ10)</f>
        <v>13</v>
      </c>
      <c r="AO10" s="13" t="n">
        <f aca="false">IF(COUNTA(D10:AJ10)=0,"",(SUMPRODUCT(--(D10:AJ10&lt;&gt;""),--($D$23:$AJ$23="LIVE"))+SUMPRODUCT(--(D10:AJ10&lt;&gt;""),--($D$23:$AJ$23="PARTIAL")))/COUNTA(D10:AJ10))</f>
        <v>0.307692307692308</v>
      </c>
      <c r="AP10" s="11" t="s">
        <v>108</v>
      </c>
    </row>
    <row r="11" customFormat="false" ht="15" hidden="false" customHeight="false" outlineLevel="0" collapsed="false">
      <c r="A11" s="10" t="s">
        <v>109</v>
      </c>
      <c r="B11" s="11" t="s">
        <v>99</v>
      </c>
      <c r="C11" s="12" t="s">
        <v>62</v>
      </c>
      <c r="D11" s="11" t="s">
        <v>12</v>
      </c>
      <c r="E11" s="11" t="s">
        <v>16</v>
      </c>
      <c r="F11" s="11"/>
      <c r="G11" s="11" t="s">
        <v>16</v>
      </c>
      <c r="H11" s="11"/>
      <c r="I11" s="11"/>
      <c r="J11" s="11"/>
      <c r="K11" s="11"/>
      <c r="L11" s="11"/>
      <c r="M11" s="11"/>
      <c r="N11" s="11"/>
      <c r="O11" s="11"/>
      <c r="P11" s="11" t="s">
        <v>14</v>
      </c>
      <c r="Q11" s="11"/>
      <c r="R11" s="11"/>
      <c r="S11" s="11" t="s">
        <v>14</v>
      </c>
      <c r="T11" s="11"/>
      <c r="U11" s="11" t="s">
        <v>14</v>
      </c>
      <c r="V11" s="11"/>
      <c r="W11" s="11" t="s">
        <v>14</v>
      </c>
      <c r="X11" s="11"/>
      <c r="Y11" s="11"/>
      <c r="Z11" s="11"/>
      <c r="AA11" s="11"/>
      <c r="AB11" s="11"/>
      <c r="AC11" s="11" t="s">
        <v>14</v>
      </c>
      <c r="AD11" s="11"/>
      <c r="AE11" s="11"/>
      <c r="AF11" s="11"/>
      <c r="AG11" s="11"/>
      <c r="AH11" s="11"/>
      <c r="AI11" s="11"/>
      <c r="AJ11" s="11"/>
      <c r="AK11" s="11" t="n">
        <f aca="false">COUNTIF(D11:AJ11,"P")</f>
        <v>1</v>
      </c>
      <c r="AL11" s="11" t="n">
        <f aca="false">COUNTIF(D11:AJ11,"S")</f>
        <v>5</v>
      </c>
      <c r="AM11" s="11" t="n">
        <f aca="false">COUNTIF(D11:AJ11,"D")</f>
        <v>2</v>
      </c>
      <c r="AN11" s="11" t="n">
        <f aca="false">COUNTA(D11:AJ11)</f>
        <v>8</v>
      </c>
      <c r="AO11" s="13" t="n">
        <f aca="false">IF(COUNTA(D11:AJ11)=0,"",(SUMPRODUCT(--(D11:AJ11&lt;&gt;""),--($D$23:$AJ$23="LIVE"))+SUMPRODUCT(--(D11:AJ11&lt;&gt;""),--($D$23:$AJ$23="PARTIAL")))/COUNTA(D11:AJ11))</f>
        <v>0.75</v>
      </c>
      <c r="AP11" s="11" t="s">
        <v>100</v>
      </c>
    </row>
    <row r="12" customFormat="false" ht="15" hidden="false" customHeight="false" outlineLevel="0" collapsed="false">
      <c r="A12" s="10" t="s">
        <v>110</v>
      </c>
      <c r="B12" s="11" t="s">
        <v>104</v>
      </c>
      <c r="C12" s="12" t="s">
        <v>62</v>
      </c>
      <c r="D12" s="11" t="s">
        <v>12</v>
      </c>
      <c r="E12" s="11" t="s">
        <v>16</v>
      </c>
      <c r="F12" s="11" t="s">
        <v>16</v>
      </c>
      <c r="G12" s="11" t="s">
        <v>16</v>
      </c>
      <c r="H12" s="11" t="s">
        <v>16</v>
      </c>
      <c r="I12" s="11" t="s">
        <v>16</v>
      </c>
      <c r="J12" s="11" t="s">
        <v>16</v>
      </c>
      <c r="K12" s="11"/>
      <c r="L12" s="11"/>
      <c r="M12" s="11"/>
      <c r="N12" s="11"/>
      <c r="O12" s="11"/>
      <c r="P12" s="11" t="s">
        <v>14</v>
      </c>
      <c r="Q12" s="11" t="s">
        <v>14</v>
      </c>
      <c r="R12" s="11" t="s">
        <v>14</v>
      </c>
      <c r="S12" s="11" t="s">
        <v>14</v>
      </c>
      <c r="T12" s="11" t="s">
        <v>14</v>
      </c>
      <c r="U12" s="11" t="s">
        <v>14</v>
      </c>
      <c r="V12" s="11"/>
      <c r="W12" s="11" t="s">
        <v>14</v>
      </c>
      <c r="X12" s="11" t="s">
        <v>14</v>
      </c>
      <c r="Y12" s="11"/>
      <c r="Z12" s="11"/>
      <c r="AA12" s="11" t="s">
        <v>14</v>
      </c>
      <c r="AB12" s="11" t="s">
        <v>14</v>
      </c>
      <c r="AC12" s="11" t="s">
        <v>14</v>
      </c>
      <c r="AD12" s="11" t="s">
        <v>14</v>
      </c>
      <c r="AE12" s="11"/>
      <c r="AF12" s="11"/>
      <c r="AG12" s="11"/>
      <c r="AH12" s="11"/>
      <c r="AI12" s="11"/>
      <c r="AJ12" s="11"/>
      <c r="AK12" s="11" t="n">
        <f aca="false">COUNTIF(D12:AJ12,"P")</f>
        <v>1</v>
      </c>
      <c r="AL12" s="11" t="n">
        <f aca="false">COUNTIF(D12:AJ12,"S")</f>
        <v>12</v>
      </c>
      <c r="AM12" s="11" t="n">
        <f aca="false">COUNTIF(D12:AJ12,"D")</f>
        <v>6</v>
      </c>
      <c r="AN12" s="11" t="n">
        <f aca="false">COUNTA(D12:AJ12)</f>
        <v>19</v>
      </c>
      <c r="AO12" s="13" t="n">
        <f aca="false">IF(COUNTA(D12:AJ12)=0,"",(SUMPRODUCT(--(D12:AJ12&lt;&gt;""),--($D$23:$AJ$23="LIVE"))+SUMPRODUCT(--(D12:AJ12&lt;&gt;""),--($D$23:$AJ$23="PARTIAL")))/COUNTA(D12:AJ12))</f>
        <v>0.473684210526316</v>
      </c>
      <c r="AP12" s="11" t="s">
        <v>100</v>
      </c>
    </row>
    <row r="13" customFormat="false" ht="15" hidden="false" customHeight="false" outlineLevel="0" collapsed="false">
      <c r="A13" s="10" t="s">
        <v>111</v>
      </c>
      <c r="B13" s="11" t="s">
        <v>112</v>
      </c>
      <c r="C13" s="12" t="s">
        <v>74</v>
      </c>
      <c r="D13" s="11" t="s">
        <v>16</v>
      </c>
      <c r="E13" s="11"/>
      <c r="F13" s="11" t="s">
        <v>16</v>
      </c>
      <c r="G13" s="11" t="s">
        <v>16</v>
      </c>
      <c r="H13" s="11" t="s">
        <v>16</v>
      </c>
      <c r="I13" s="11"/>
      <c r="J13" s="11"/>
      <c r="K13" s="11"/>
      <c r="L13" s="11"/>
      <c r="M13" s="11" t="s">
        <v>16</v>
      </c>
      <c r="N13" s="11"/>
      <c r="O13" s="11"/>
      <c r="P13" s="11" t="s">
        <v>12</v>
      </c>
      <c r="Q13" s="11" t="s">
        <v>14</v>
      </c>
      <c r="R13" s="11" t="s">
        <v>14</v>
      </c>
      <c r="S13" s="11" t="s">
        <v>14</v>
      </c>
      <c r="T13" s="11" t="s">
        <v>14</v>
      </c>
      <c r="U13" s="11"/>
      <c r="V13" s="11"/>
      <c r="W13" s="11" t="s">
        <v>14</v>
      </c>
      <c r="X13" s="11" t="s">
        <v>14</v>
      </c>
      <c r="Y13" s="11" t="s">
        <v>14</v>
      </c>
      <c r="Z13" s="11" t="s">
        <v>14</v>
      </c>
      <c r="AA13" s="11"/>
      <c r="AB13" s="11"/>
      <c r="AC13" s="11"/>
      <c r="AD13" s="11"/>
      <c r="AE13" s="11" t="s">
        <v>14</v>
      </c>
      <c r="AF13" s="11"/>
      <c r="AG13" s="11"/>
      <c r="AH13" s="11"/>
      <c r="AI13" s="11"/>
      <c r="AJ13" s="11"/>
      <c r="AK13" s="11" t="n">
        <f aca="false">COUNTIF(D13:AJ13,"P")</f>
        <v>1</v>
      </c>
      <c r="AL13" s="11" t="n">
        <f aca="false">COUNTIF(D13:AJ13,"S")</f>
        <v>9</v>
      </c>
      <c r="AM13" s="11" t="n">
        <f aca="false">COUNTIF(D13:AJ13,"D")</f>
        <v>5</v>
      </c>
      <c r="AN13" s="11" t="n">
        <f aca="false">COUNTA(D13:AJ13)</f>
        <v>15</v>
      </c>
      <c r="AO13" s="13" t="n">
        <f aca="false">IF(COUNTA(D13:AJ13)=0,"",(SUMPRODUCT(--(D13:AJ13&lt;&gt;""),--($D$23:$AJ$23="LIVE"))+SUMPRODUCT(--(D13:AJ13&lt;&gt;""),--($D$23:$AJ$23="PARTIAL")))/COUNTA(D13:AJ13))</f>
        <v>0.466666666666667</v>
      </c>
      <c r="AP13" s="11" t="s">
        <v>100</v>
      </c>
    </row>
    <row r="14" customFormat="false" ht="15" hidden="false" customHeight="false" outlineLevel="0" collapsed="false">
      <c r="A14" s="10" t="s">
        <v>113</v>
      </c>
      <c r="B14" s="11" t="s">
        <v>114</v>
      </c>
      <c r="C14" s="12" t="s">
        <v>81</v>
      </c>
      <c r="D14" s="11" t="s">
        <v>16</v>
      </c>
      <c r="E14" s="11" t="s">
        <v>16</v>
      </c>
      <c r="F14" s="11"/>
      <c r="G14" s="11" t="s">
        <v>16</v>
      </c>
      <c r="H14" s="11" t="s">
        <v>16</v>
      </c>
      <c r="I14" s="11"/>
      <c r="J14" s="11"/>
      <c r="K14" s="11"/>
      <c r="L14" s="11" t="s">
        <v>16</v>
      </c>
      <c r="M14" s="11"/>
      <c r="N14" s="11"/>
      <c r="O14" s="11"/>
      <c r="P14" s="11" t="s">
        <v>14</v>
      </c>
      <c r="Q14" s="11"/>
      <c r="R14" s="11"/>
      <c r="S14" s="11"/>
      <c r="T14" s="11"/>
      <c r="U14" s="11"/>
      <c r="V14" s="11"/>
      <c r="W14" s="11" t="s">
        <v>12</v>
      </c>
      <c r="X14" s="11" t="s">
        <v>14</v>
      </c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 t="n">
        <f aca="false">COUNTIF(D14:AJ14,"P")</f>
        <v>1</v>
      </c>
      <c r="AL14" s="11" t="n">
        <f aca="false">COUNTIF(D14:AJ14,"S")</f>
        <v>2</v>
      </c>
      <c r="AM14" s="11" t="n">
        <f aca="false">COUNTIF(D14:AJ14,"D")</f>
        <v>5</v>
      </c>
      <c r="AN14" s="11" t="n">
        <f aca="false">COUNTA(D14:AJ14)</f>
        <v>8</v>
      </c>
      <c r="AO14" s="13" t="n">
        <f aca="false">IF(COUNTA(D14:AJ14)=0,"",(SUMPRODUCT(--(D14:AJ14&lt;&gt;""),--($D$23:$AJ$23="LIVE"))+SUMPRODUCT(--(D14:AJ14&lt;&gt;""),--($D$23:$AJ$23="PARTIAL")))/COUNTA(D14:AJ14))</f>
        <v>0.875</v>
      </c>
      <c r="AP14" s="11" t="s">
        <v>100</v>
      </c>
    </row>
    <row r="15" customFormat="false" ht="15" hidden="false" customHeight="false" outlineLevel="0" collapsed="false">
      <c r="A15" s="10" t="s">
        <v>115</v>
      </c>
      <c r="B15" s="11" t="s">
        <v>114</v>
      </c>
      <c r="C15" s="12" t="s">
        <v>82</v>
      </c>
      <c r="D15" s="11" t="s">
        <v>16</v>
      </c>
      <c r="E15" s="11" t="s">
        <v>16</v>
      </c>
      <c r="F15" s="11" t="s">
        <v>16</v>
      </c>
      <c r="G15" s="11" t="s">
        <v>16</v>
      </c>
      <c r="H15" s="11" t="s">
        <v>16</v>
      </c>
      <c r="I15" s="11"/>
      <c r="J15" s="11"/>
      <c r="K15" s="11"/>
      <c r="L15" s="11" t="s">
        <v>16</v>
      </c>
      <c r="M15" s="11" t="s">
        <v>16</v>
      </c>
      <c r="N15" s="11"/>
      <c r="O15" s="11"/>
      <c r="P15" s="11" t="s">
        <v>14</v>
      </c>
      <c r="Q15" s="11"/>
      <c r="R15" s="11"/>
      <c r="S15" s="11" t="s">
        <v>14</v>
      </c>
      <c r="T15" s="11"/>
      <c r="U15" s="11"/>
      <c r="V15" s="11"/>
      <c r="W15" s="11" t="s">
        <v>14</v>
      </c>
      <c r="X15" s="11" t="s">
        <v>12</v>
      </c>
      <c r="Y15" s="11"/>
      <c r="Z15" s="11"/>
      <c r="AA15" s="11"/>
      <c r="AB15" s="11"/>
      <c r="AC15" s="11"/>
      <c r="AD15" s="11"/>
      <c r="AE15" s="11" t="s">
        <v>14</v>
      </c>
      <c r="AF15" s="11"/>
      <c r="AG15" s="11"/>
      <c r="AH15" s="11"/>
      <c r="AI15" s="11"/>
      <c r="AJ15" s="11"/>
      <c r="AK15" s="11" t="n">
        <f aca="false">COUNTIF(D15:AJ15,"P")</f>
        <v>1</v>
      </c>
      <c r="AL15" s="11" t="n">
        <f aca="false">COUNTIF(D15:AJ15,"S")</f>
        <v>4</v>
      </c>
      <c r="AM15" s="11" t="n">
        <f aca="false">COUNTIF(D15:AJ15,"D")</f>
        <v>7</v>
      </c>
      <c r="AN15" s="11" t="n">
        <f aca="false">COUNTA(D15:AJ15)</f>
        <v>12</v>
      </c>
      <c r="AO15" s="13" t="n">
        <f aca="false">IF(COUNTA(D15:AJ15)=0,"",(SUMPRODUCT(--(D15:AJ15&lt;&gt;""),--($D$23:$AJ$23="LIVE"))+SUMPRODUCT(--(D15:AJ15&lt;&gt;""),--($D$23:$AJ$23="PARTIAL")))/COUNTA(D15:AJ15))</f>
        <v>0.666666666666667</v>
      </c>
      <c r="AP15" s="11" t="s">
        <v>116</v>
      </c>
    </row>
    <row r="16" customFormat="false" ht="15" hidden="false" customHeight="false" outlineLevel="0" collapsed="false">
      <c r="A16" s="10" t="s">
        <v>117</v>
      </c>
      <c r="B16" s="11" t="s">
        <v>114</v>
      </c>
      <c r="C16" s="12" t="s">
        <v>82</v>
      </c>
      <c r="D16" s="11" t="s">
        <v>16</v>
      </c>
      <c r="E16" s="11" t="s">
        <v>16</v>
      </c>
      <c r="F16" s="11"/>
      <c r="G16" s="11" t="s">
        <v>16</v>
      </c>
      <c r="H16" s="11" t="s">
        <v>16</v>
      </c>
      <c r="I16" s="11"/>
      <c r="J16" s="11"/>
      <c r="K16" s="11"/>
      <c r="L16" s="11"/>
      <c r="M16" s="11" t="s">
        <v>16</v>
      </c>
      <c r="N16" s="11"/>
      <c r="O16" s="11"/>
      <c r="P16" s="11" t="s">
        <v>14</v>
      </c>
      <c r="Q16" s="11"/>
      <c r="R16" s="11"/>
      <c r="S16" s="11"/>
      <c r="T16" s="11"/>
      <c r="U16" s="11"/>
      <c r="V16" s="11"/>
      <c r="W16" s="11" t="s">
        <v>14</v>
      </c>
      <c r="X16" s="11" t="s">
        <v>12</v>
      </c>
      <c r="Y16" s="11"/>
      <c r="Z16" s="11"/>
      <c r="AA16" s="11"/>
      <c r="AB16" s="11"/>
      <c r="AC16" s="11"/>
      <c r="AD16" s="11"/>
      <c r="AE16" s="11"/>
      <c r="AF16" s="11" t="s">
        <v>14</v>
      </c>
      <c r="AG16" s="11"/>
      <c r="AH16" s="11"/>
      <c r="AI16" s="11"/>
      <c r="AJ16" s="11"/>
      <c r="AK16" s="11" t="n">
        <f aca="false">COUNTIF(D16:AJ16,"P")</f>
        <v>1</v>
      </c>
      <c r="AL16" s="11" t="n">
        <f aca="false">COUNTIF(D16:AJ16,"S")</f>
        <v>3</v>
      </c>
      <c r="AM16" s="11" t="n">
        <f aca="false">COUNTIF(D16:AJ16,"D")</f>
        <v>5</v>
      </c>
      <c r="AN16" s="11" t="n">
        <f aca="false">COUNTA(D16:AJ16)</f>
        <v>9</v>
      </c>
      <c r="AO16" s="13" t="n">
        <f aca="false">IF(COUNTA(D16:AJ16)=0,"",(SUMPRODUCT(--(D16:AJ16&lt;&gt;""),--($D$23:$AJ$23="LIVE"))+SUMPRODUCT(--(D16:AJ16&lt;&gt;""),--($D$23:$AJ$23="PARTIAL")))/COUNTA(D16:AJ16))</f>
        <v>0.666666666666667</v>
      </c>
      <c r="AP16" s="11" t="s">
        <v>116</v>
      </c>
    </row>
    <row r="17" customFormat="false" ht="15" hidden="false" customHeight="false" outlineLevel="0" collapsed="false">
      <c r="A17" s="10" t="s">
        <v>118</v>
      </c>
      <c r="B17" s="11" t="s">
        <v>119</v>
      </c>
      <c r="C17" s="12" t="s">
        <v>81</v>
      </c>
      <c r="D17" s="11" t="s">
        <v>16</v>
      </c>
      <c r="E17" s="11"/>
      <c r="F17" s="11"/>
      <c r="G17" s="11" t="s">
        <v>16</v>
      </c>
      <c r="H17" s="11" t="s">
        <v>16</v>
      </c>
      <c r="I17" s="11"/>
      <c r="J17" s="11"/>
      <c r="K17" s="11"/>
      <c r="L17" s="11" t="s">
        <v>16</v>
      </c>
      <c r="M17" s="11"/>
      <c r="N17" s="11"/>
      <c r="O17" s="11"/>
      <c r="P17" s="11" t="s">
        <v>14</v>
      </c>
      <c r="Q17" s="11"/>
      <c r="R17" s="11"/>
      <c r="S17" s="11"/>
      <c r="T17" s="11"/>
      <c r="U17" s="11"/>
      <c r="V17" s="11"/>
      <c r="W17" s="11" t="s">
        <v>12</v>
      </c>
      <c r="X17" s="11" t="s">
        <v>14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 t="n">
        <f aca="false">COUNTIF(D17:AJ17,"P")</f>
        <v>1</v>
      </c>
      <c r="AL17" s="11" t="n">
        <f aca="false">COUNTIF(D17:AJ17,"S")</f>
        <v>2</v>
      </c>
      <c r="AM17" s="11" t="n">
        <f aca="false">COUNTIF(D17:AJ17,"D")</f>
        <v>4</v>
      </c>
      <c r="AN17" s="11" t="n">
        <f aca="false">COUNTA(D17:AJ17)</f>
        <v>7</v>
      </c>
      <c r="AO17" s="13" t="n">
        <f aca="false">IF(COUNTA(D17:AJ17)=0,"",(SUMPRODUCT(--(D17:AJ17&lt;&gt;""),--($D$23:$AJ$23="LIVE"))+SUMPRODUCT(--(D17:AJ17&lt;&gt;""),--($D$23:$AJ$23="PARTIAL")))/COUNTA(D17:AJ17))</f>
        <v>0.857142857142857</v>
      </c>
      <c r="AP17" s="11" t="s">
        <v>100</v>
      </c>
    </row>
    <row r="18" customFormat="false" ht="15" hidden="false" customHeight="false" outlineLevel="0" collapsed="false">
      <c r="A18" s="10" t="s">
        <v>120</v>
      </c>
      <c r="B18" s="11" t="s">
        <v>114</v>
      </c>
      <c r="C18" s="12" t="s">
        <v>121</v>
      </c>
      <c r="D18" s="11" t="s">
        <v>16</v>
      </c>
      <c r="E18" s="11" t="s">
        <v>16</v>
      </c>
      <c r="F18" s="11"/>
      <c r="G18" s="11" t="s">
        <v>16</v>
      </c>
      <c r="H18" s="11" t="s">
        <v>16</v>
      </c>
      <c r="I18" s="11"/>
      <c r="J18" s="11"/>
      <c r="K18" s="11"/>
      <c r="L18" s="11"/>
      <c r="M18" s="11" t="s">
        <v>16</v>
      </c>
      <c r="N18" s="11"/>
      <c r="O18" s="11" t="s">
        <v>14</v>
      </c>
      <c r="P18" s="11" t="s">
        <v>14</v>
      </c>
      <c r="Q18" s="11"/>
      <c r="R18" s="11"/>
      <c r="S18" s="11" t="s">
        <v>14</v>
      </c>
      <c r="T18" s="11" t="s">
        <v>14</v>
      </c>
      <c r="U18" s="11" t="s">
        <v>14</v>
      </c>
      <c r="V18" s="11"/>
      <c r="W18" s="11" t="s">
        <v>14</v>
      </c>
      <c r="X18" s="11" t="s">
        <v>14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 t="n">
        <f aca="false">COUNTIF(D18:AJ18,"P")</f>
        <v>0</v>
      </c>
      <c r="AL18" s="11" t="n">
        <f aca="false">COUNTIF(D18:AJ18,"S")</f>
        <v>7</v>
      </c>
      <c r="AM18" s="11" t="n">
        <f aca="false">COUNTIF(D18:AJ18,"D")</f>
        <v>5</v>
      </c>
      <c r="AN18" s="11" t="n">
        <f aca="false">COUNTA(D18:AJ18)</f>
        <v>12</v>
      </c>
      <c r="AO18" s="13" t="n">
        <f aca="false">IF(COUNTA(D18:AJ18)=0,"",(SUMPRODUCT(--(D18:AJ18&lt;&gt;""),--($D$23:$AJ$23="LIVE"))+SUMPRODUCT(--(D18:AJ18&lt;&gt;""),--($D$23:$AJ$23="PARTIAL")))/COUNTA(D18:AJ18))</f>
        <v>0.583333333333333</v>
      </c>
      <c r="AP18" s="11" t="s">
        <v>100</v>
      </c>
    </row>
    <row r="19" customFormat="false" ht="15" hidden="false" customHeight="false" outlineLevel="0" collapsed="false">
      <c r="A19" s="10" t="s">
        <v>122</v>
      </c>
      <c r="B19" s="11" t="s">
        <v>99</v>
      </c>
      <c r="C19" s="12" t="s">
        <v>73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 t="s">
        <v>12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 t="n">
        <f aca="false">COUNTIF(D19:AJ19,"P")</f>
        <v>1</v>
      </c>
      <c r="AL19" s="11" t="n">
        <f aca="false">COUNTIF(D19:AJ19,"S")</f>
        <v>0</v>
      </c>
      <c r="AM19" s="11" t="n">
        <f aca="false">COUNTIF(D19:AJ19,"D")</f>
        <v>0</v>
      </c>
      <c r="AN19" s="11" t="n">
        <f aca="false">COUNTA(D19:AJ19)</f>
        <v>1</v>
      </c>
      <c r="AO19" s="13" t="n">
        <f aca="false">IF(COUNTA(D19:AJ19)=0,"",(SUMPRODUCT(--(D19:AJ19&lt;&gt;""),--($D$23:$AJ$23="LIVE"))+SUMPRODUCT(--(D19:AJ19&lt;&gt;""),--($D$23:$AJ$23="PARTIAL")))/COUNTA(D19:AJ19))</f>
        <v>0</v>
      </c>
      <c r="AP19" s="11" t="s">
        <v>123</v>
      </c>
    </row>
    <row r="20" customFormat="false" ht="15" hidden="false" customHeight="false" outlineLevel="0" collapsed="false">
      <c r="A20" s="10" t="s">
        <v>124</v>
      </c>
      <c r="B20" s="11" t="s">
        <v>125</v>
      </c>
      <c r="C20" s="12" t="s">
        <v>121</v>
      </c>
      <c r="D20" s="11"/>
      <c r="E20" s="11"/>
      <c r="F20" s="11"/>
      <c r="G20" s="11"/>
      <c r="H20" s="11"/>
      <c r="I20" s="11"/>
      <c r="J20" s="11"/>
      <c r="K20" s="11"/>
      <c r="L20" s="11"/>
      <c r="M20" s="11" t="s">
        <v>16</v>
      </c>
      <c r="N20" s="11"/>
      <c r="O20" s="11" t="s">
        <v>14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 t="s">
        <v>14</v>
      </c>
      <c r="AH20" s="11"/>
      <c r="AI20" s="11"/>
      <c r="AJ20" s="11"/>
      <c r="AK20" s="11" t="n">
        <f aca="false">COUNTIF(D20:AJ20,"P")</f>
        <v>0</v>
      </c>
      <c r="AL20" s="11" t="n">
        <f aca="false">COUNTIF(D20:AJ20,"S")</f>
        <v>2</v>
      </c>
      <c r="AM20" s="11" t="n">
        <f aca="false">COUNTIF(D20:AJ20,"D")</f>
        <v>1</v>
      </c>
      <c r="AN20" s="11" t="n">
        <f aca="false">COUNTA(D20:AJ20)</f>
        <v>3</v>
      </c>
      <c r="AO20" s="13" t="n">
        <f aca="false">IF(COUNTA(D20:AJ20)=0,"",(SUMPRODUCT(--(D20:AJ20&lt;&gt;""),--($D$23:$AJ$23="LIVE"))+SUMPRODUCT(--(D20:AJ20&lt;&gt;""),--($D$23:$AJ$23="PARTIAL")))/COUNTA(D20:AJ20))</f>
        <v>0.333333333333333</v>
      </c>
      <c r="AP20" s="11" t="s">
        <v>100</v>
      </c>
    </row>
    <row r="21" customFormat="false" ht="15" hidden="false" customHeight="false" outlineLevel="0" collapsed="false">
      <c r="A21" s="10" t="s">
        <v>126</v>
      </c>
      <c r="B21" s="11" t="s">
        <v>99</v>
      </c>
      <c r="C21" s="12" t="s">
        <v>127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 t="s">
        <v>14</v>
      </c>
      <c r="P21" s="11"/>
      <c r="Q21" s="11"/>
      <c r="R21" s="11"/>
      <c r="S21" s="11"/>
      <c r="T21" s="11"/>
      <c r="U21" s="11"/>
      <c r="V21" s="11"/>
      <c r="W21" s="11" t="s">
        <v>14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 t="s">
        <v>12</v>
      </c>
      <c r="AH21" s="11" t="s">
        <v>14</v>
      </c>
      <c r="AI21" s="11" t="s">
        <v>12</v>
      </c>
      <c r="AJ21" s="11" t="s">
        <v>14</v>
      </c>
      <c r="AK21" s="11" t="n">
        <f aca="false">COUNTIF(D21:AJ21,"P")</f>
        <v>2</v>
      </c>
      <c r="AL21" s="11" t="n">
        <f aca="false">COUNTIF(D21:AJ21,"S")</f>
        <v>4</v>
      </c>
      <c r="AM21" s="11" t="n">
        <f aca="false">COUNTIF(D21:AJ21,"D")</f>
        <v>0</v>
      </c>
      <c r="AN21" s="11" t="n">
        <f aca="false">COUNTA(D21:AJ21)</f>
        <v>6</v>
      </c>
      <c r="AO21" s="13" t="n">
        <f aca="false">IF(COUNTA(D21:AJ21)=0,"",(SUMPRODUCT(--(D21:AJ21&lt;&gt;""),--($D$23:$AJ$23="LIVE"))+SUMPRODUCT(--(D21:AJ21&lt;&gt;""),--($D$23:$AJ$23="PARTIAL")))/COUNTA(D21:AJ21))</f>
        <v>0.5</v>
      </c>
      <c r="AP21" s="11" t="s">
        <v>128</v>
      </c>
    </row>
    <row r="22" customFormat="false" ht="15" hidden="false" customHeight="false" outlineLevel="0" collapsed="false">
      <c r="A22" s="11"/>
      <c r="B22" s="11"/>
      <c r="C22" s="14" t="s">
        <v>129</v>
      </c>
      <c r="D22" s="11" t="n">
        <f aca="false">COUNTA(D5:D21)</f>
        <v>14</v>
      </c>
      <c r="E22" s="11" t="n">
        <f aca="false">COUNTA(E5:E21)</f>
        <v>12</v>
      </c>
      <c r="F22" s="11" t="n">
        <f aca="false">COUNTA(F5:F21)</f>
        <v>4</v>
      </c>
      <c r="G22" s="11" t="n">
        <f aca="false">COUNTA(G5:G21)</f>
        <v>14</v>
      </c>
      <c r="H22" s="11" t="n">
        <f aca="false">COUNTA(H5:H21)</f>
        <v>12</v>
      </c>
      <c r="I22" s="11" t="n">
        <f aca="false">COUNTA(I5:I21)</f>
        <v>1</v>
      </c>
      <c r="J22" s="11" t="n">
        <f aca="false">COUNTA(J5:J21)</f>
        <v>2</v>
      </c>
      <c r="K22" s="11" t="n">
        <f aca="false">COUNTA(K5:K21)</f>
        <v>1</v>
      </c>
      <c r="L22" s="11" t="n">
        <f aca="false">COUNTA(L5:L21)</f>
        <v>3</v>
      </c>
      <c r="M22" s="11" t="n">
        <f aca="false">COUNTA(M5:M21)</f>
        <v>5</v>
      </c>
      <c r="N22" s="11" t="n">
        <f aca="false">COUNTA(N5:N21)</f>
        <v>1</v>
      </c>
      <c r="O22" s="11" t="n">
        <f aca="false">COUNTA(O5:O21)</f>
        <v>4</v>
      </c>
      <c r="P22" s="11" t="n">
        <f aca="false">COUNTA(P5:P21)</f>
        <v>13</v>
      </c>
      <c r="Q22" s="11" t="n">
        <f aca="false">COUNTA(Q5:Q21)</f>
        <v>3</v>
      </c>
      <c r="R22" s="11" t="n">
        <f aca="false">COUNTA(R5:R21)</f>
        <v>3</v>
      </c>
      <c r="S22" s="11" t="n">
        <f aca="false">COUNTA(S5:S21)</f>
        <v>9</v>
      </c>
      <c r="T22" s="11" t="n">
        <f aca="false">COUNTA(T5:T21)</f>
        <v>4</v>
      </c>
      <c r="U22" s="11" t="n">
        <f aca="false">COUNTA(U5:U21)</f>
        <v>5</v>
      </c>
      <c r="V22" s="11" t="n">
        <f aca="false">COUNTA(V5:V21)</f>
        <v>3</v>
      </c>
      <c r="W22" s="11" t="n">
        <f aca="false">COUNTA(W5:W21)</f>
        <v>13</v>
      </c>
      <c r="X22" s="11" t="n">
        <f aca="false">COUNTA(X5:X21)</f>
        <v>10</v>
      </c>
      <c r="Y22" s="11" t="n">
        <f aca="false">COUNTA(Y5:Y21)</f>
        <v>2</v>
      </c>
      <c r="Z22" s="11" t="n">
        <f aca="false">COUNTA(Z5:Z21)</f>
        <v>2</v>
      </c>
      <c r="AA22" s="11" t="n">
        <f aca="false">COUNTA(AA5:AA21)</f>
        <v>2</v>
      </c>
      <c r="AB22" s="11" t="n">
        <f aca="false">COUNTA(AB5:AB21)</f>
        <v>2</v>
      </c>
      <c r="AC22" s="11" t="n">
        <f aca="false">COUNTA(AC5:AC21)</f>
        <v>2</v>
      </c>
      <c r="AD22" s="11" t="n">
        <f aca="false">COUNTA(AD5:AD21)</f>
        <v>1</v>
      </c>
      <c r="AE22" s="11" t="n">
        <f aca="false">COUNTA(AE5:AE21)</f>
        <v>2</v>
      </c>
      <c r="AF22" s="11" t="n">
        <f aca="false">COUNTA(AF5:AF21)</f>
        <v>1</v>
      </c>
      <c r="AG22" s="11" t="n">
        <f aca="false">COUNTA(AG5:AG21)</f>
        <v>2</v>
      </c>
      <c r="AH22" s="11" t="n">
        <f aca="false">COUNTA(AH5:AH21)</f>
        <v>1</v>
      </c>
      <c r="AI22" s="11" t="n">
        <f aca="false">COUNTA(AI5:AI21)</f>
        <v>1</v>
      </c>
      <c r="AJ22" s="11" t="n">
        <f aca="false">COUNTA(AJ5:AJ21)</f>
        <v>1</v>
      </c>
      <c r="AK22" s="11"/>
      <c r="AL22" s="11"/>
      <c r="AM22" s="11"/>
      <c r="AN22" s="11"/>
      <c r="AO22" s="11"/>
      <c r="AP22" s="11"/>
    </row>
    <row r="23" customFormat="false" ht="66" hidden="false" customHeight="true" outlineLevel="0" collapsed="false">
      <c r="A23" s="11"/>
      <c r="B23" s="11"/>
      <c r="C23" s="14" t="s">
        <v>130</v>
      </c>
      <c r="D23" s="11" t="s">
        <v>21</v>
      </c>
      <c r="E23" s="11" t="s">
        <v>21</v>
      </c>
      <c r="F23" s="11" t="s">
        <v>21</v>
      </c>
      <c r="G23" s="11" t="s">
        <v>21</v>
      </c>
      <c r="H23" s="11" t="s">
        <v>21</v>
      </c>
      <c r="I23" s="11" t="s">
        <v>27</v>
      </c>
      <c r="J23" s="11" t="s">
        <v>27</v>
      </c>
      <c r="K23" s="11" t="s">
        <v>27</v>
      </c>
      <c r="L23" s="11" t="s">
        <v>21</v>
      </c>
      <c r="M23" s="11" t="s">
        <v>27</v>
      </c>
      <c r="N23" s="11" t="s">
        <v>27</v>
      </c>
      <c r="O23" s="11" t="s">
        <v>27</v>
      </c>
      <c r="P23" s="11" t="s">
        <v>21</v>
      </c>
      <c r="Q23" s="11" t="s">
        <v>21</v>
      </c>
      <c r="R23" s="11" t="s">
        <v>27</v>
      </c>
      <c r="S23" s="11" t="s">
        <v>27</v>
      </c>
      <c r="T23" s="11" t="s">
        <v>27</v>
      </c>
      <c r="U23" s="11" t="s">
        <v>21</v>
      </c>
      <c r="V23" s="11" t="s">
        <v>27</v>
      </c>
      <c r="W23" s="11" t="s">
        <v>21</v>
      </c>
      <c r="X23" s="11" t="s">
        <v>27</v>
      </c>
      <c r="Y23" s="11" t="s">
        <v>27</v>
      </c>
      <c r="Z23" s="11" t="s">
        <v>27</v>
      </c>
      <c r="AA23" s="11" t="s">
        <v>27</v>
      </c>
      <c r="AB23" s="11" t="s">
        <v>27</v>
      </c>
      <c r="AC23" s="11" t="s">
        <v>27</v>
      </c>
      <c r="AD23" s="11" t="s">
        <v>27</v>
      </c>
      <c r="AE23" s="11" t="s">
        <v>27</v>
      </c>
      <c r="AF23" s="11" t="s">
        <v>27</v>
      </c>
      <c r="AG23" s="11" t="s">
        <v>21</v>
      </c>
      <c r="AH23" s="11" t="s">
        <v>27</v>
      </c>
      <c r="AI23" s="11" t="s">
        <v>27</v>
      </c>
      <c r="AJ23" s="11" t="s">
        <v>21</v>
      </c>
      <c r="AK23" s="11"/>
      <c r="AL23" s="11"/>
      <c r="AM23" s="11"/>
      <c r="AN23" s="11"/>
      <c r="AO23" s="11"/>
      <c r="AP23" s="11"/>
    </row>
    <row r="25" customFormat="false" ht="15" hidden="false" customHeight="false" outlineLevel="0" collapsed="false">
      <c r="A25" s="15" t="s">
        <v>131</v>
      </c>
      <c r="C25" s="2" t="s">
        <v>132</v>
      </c>
    </row>
  </sheetData>
  <conditionalFormatting sqref="D5:AJ21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"S"</formula>
    </cfRule>
    <cfRule type="cellIs" priority="4" operator="equal" aboveAverage="0" equalAverage="0" bottom="0" percent="0" rank="0" text="" dxfId="2">
      <formula>"D"</formula>
    </cfRule>
  </conditionalFormatting>
  <conditionalFormatting sqref="D23:AJ23">
    <cfRule type="cellIs" priority="5" operator="equal" aboveAverage="0" equalAverage="0" bottom="0" percent="0" rank="0" text="" dxfId="3">
      <formula>"LIVE"</formula>
    </cfRule>
    <cfRule type="cellIs" priority="6" operator="equal" aboveAverage="0" equalAverage="0" bottom="0" percent="0" rank="0" text="" dxfId="4">
      <formula>"PARTIAL"</formula>
    </cfRule>
    <cfRule type="cellIs" priority="7" operator="equal" aboveAverage="0" equalAverage="0" bottom="0" percent="0" rank="0" text="" dxfId="5">
      <formula>"ASSUMED"</formula>
    </cfRule>
  </conditionalFormatting>
  <conditionalFormatting sqref="AP5:AP21">
    <cfRule type="cellIs" priority="8" operator="equal" aboveAverage="0" equalAverage="0" bottom="0" percent="0" rank="0" text="" dxfId="6">
      <formula>"renders"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78"/>
  </cols>
  <sheetData>
    <row r="1" customFormat="false" ht="18.5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133</v>
      </c>
    </row>
    <row r="4" customFormat="false" ht="27.75" hidden="false" customHeight="true" outlineLevel="0" collapsed="false">
      <c r="A4" s="7" t="s">
        <v>134</v>
      </c>
      <c r="B4" s="7" t="s">
        <v>135</v>
      </c>
      <c r="C4" s="7" t="s">
        <v>136</v>
      </c>
      <c r="D4" s="7" t="s">
        <v>137</v>
      </c>
      <c r="E4" s="7" t="s">
        <v>138</v>
      </c>
      <c r="F4" s="7" t="s">
        <v>60</v>
      </c>
      <c r="G4" s="7" t="s">
        <v>139</v>
      </c>
      <c r="H4" s="7" t="s">
        <v>140</v>
      </c>
    </row>
    <row r="5" customFormat="false" ht="53.7" hidden="false" customHeight="false" outlineLevel="0" collapsed="false">
      <c r="A5" s="16" t="s">
        <v>62</v>
      </c>
      <c r="B5" s="17" t="s">
        <v>141</v>
      </c>
      <c r="C5" s="17" t="s">
        <v>142</v>
      </c>
      <c r="D5" s="17" t="s">
        <v>143</v>
      </c>
      <c r="E5" s="18" t="s">
        <v>21</v>
      </c>
      <c r="F5" s="18" t="s">
        <v>99</v>
      </c>
      <c r="G5" s="18" t="n">
        <f aca="false">COUNTA(Matrix!D$5:D$21)</f>
        <v>14</v>
      </c>
      <c r="H5" s="17" t="s">
        <v>144</v>
      </c>
    </row>
    <row r="6" customFormat="false" ht="32.8" hidden="false" customHeight="false" outlineLevel="0" collapsed="false">
      <c r="A6" s="16" t="s">
        <v>63</v>
      </c>
      <c r="B6" s="17" t="s">
        <v>145</v>
      </c>
      <c r="C6" s="17" t="s">
        <v>146</v>
      </c>
      <c r="D6" s="17" t="s">
        <v>147</v>
      </c>
      <c r="E6" s="18" t="s">
        <v>21</v>
      </c>
      <c r="F6" s="18" t="s">
        <v>99</v>
      </c>
      <c r="G6" s="18" t="n">
        <f aca="false">COUNTA(Matrix!E$5:E$21)</f>
        <v>12</v>
      </c>
      <c r="H6" s="17" t="s">
        <v>148</v>
      </c>
    </row>
    <row r="7" customFormat="false" ht="22.35" hidden="false" customHeight="false" outlineLevel="0" collapsed="false">
      <c r="A7" s="16" t="s">
        <v>64</v>
      </c>
      <c r="B7" s="17" t="s">
        <v>149</v>
      </c>
      <c r="C7" s="17" t="s">
        <v>146</v>
      </c>
      <c r="D7" s="17" t="s">
        <v>150</v>
      </c>
      <c r="E7" s="18" t="s">
        <v>21</v>
      </c>
      <c r="F7" s="18" t="s">
        <v>99</v>
      </c>
      <c r="G7" s="18" t="n">
        <f aca="false">COUNTA(Matrix!F$5:F$21)</f>
        <v>4</v>
      </c>
      <c r="H7" s="17" t="s">
        <v>151</v>
      </c>
    </row>
    <row r="8" customFormat="false" ht="15" hidden="false" customHeight="false" outlineLevel="0" collapsed="false">
      <c r="A8" s="16" t="s">
        <v>65</v>
      </c>
      <c r="B8" s="17" t="s">
        <v>152</v>
      </c>
      <c r="C8" s="17" t="s">
        <v>153</v>
      </c>
      <c r="D8" s="17" t="s">
        <v>154</v>
      </c>
      <c r="E8" s="18" t="s">
        <v>21</v>
      </c>
      <c r="F8" s="18" t="s">
        <v>99</v>
      </c>
      <c r="G8" s="18" t="n">
        <f aca="false">COUNTA(Matrix!G$5:G$21)</f>
        <v>14</v>
      </c>
      <c r="H8" s="17" t="s">
        <v>155</v>
      </c>
    </row>
    <row r="9" customFormat="false" ht="43.25" hidden="false" customHeight="false" outlineLevel="0" collapsed="false">
      <c r="A9" s="16" t="s">
        <v>66</v>
      </c>
      <c r="B9" s="17" t="s">
        <v>156</v>
      </c>
      <c r="C9" s="17" t="s">
        <v>153</v>
      </c>
      <c r="D9" s="17" t="s">
        <v>157</v>
      </c>
      <c r="E9" s="18" t="s">
        <v>21</v>
      </c>
      <c r="F9" s="18" t="s">
        <v>99</v>
      </c>
      <c r="G9" s="18" t="n">
        <f aca="false">COUNTA(Matrix!H$5:H$21)</f>
        <v>12</v>
      </c>
      <c r="H9" s="17" t="s">
        <v>158</v>
      </c>
    </row>
    <row r="10" customFormat="false" ht="15" hidden="false" customHeight="false" outlineLevel="0" collapsed="false">
      <c r="A10" s="16" t="s">
        <v>67</v>
      </c>
      <c r="B10" s="17" t="s">
        <v>159</v>
      </c>
      <c r="C10" s="17" t="s">
        <v>160</v>
      </c>
      <c r="D10" s="17" t="s">
        <v>161</v>
      </c>
      <c r="E10" s="18" t="s">
        <v>27</v>
      </c>
      <c r="F10" s="18" t="s">
        <v>162</v>
      </c>
      <c r="G10" s="18" t="n">
        <f aca="false">COUNTA(Matrix!I$5:I$21)</f>
        <v>1</v>
      </c>
      <c r="H10" s="17" t="s">
        <v>163</v>
      </c>
    </row>
    <row r="11" customFormat="false" ht="22.35" hidden="false" customHeight="false" outlineLevel="0" collapsed="false">
      <c r="A11" s="16" t="s">
        <v>68</v>
      </c>
      <c r="B11" s="17" t="s">
        <v>164</v>
      </c>
      <c r="C11" s="17" t="s">
        <v>165</v>
      </c>
      <c r="D11" s="17" t="s">
        <v>166</v>
      </c>
      <c r="E11" s="18" t="s">
        <v>27</v>
      </c>
      <c r="F11" s="18" t="s">
        <v>112</v>
      </c>
      <c r="G11" s="18" t="n">
        <f aca="false">COUNTA(Matrix!J$5:J$21)</f>
        <v>2</v>
      </c>
      <c r="H11" s="17" t="s">
        <v>167</v>
      </c>
    </row>
    <row r="12" customFormat="false" ht="22.35" hidden="false" customHeight="false" outlineLevel="0" collapsed="false">
      <c r="A12" s="16" t="s">
        <v>69</v>
      </c>
      <c r="B12" s="17" t="s">
        <v>168</v>
      </c>
      <c r="C12" s="17" t="s">
        <v>153</v>
      </c>
      <c r="D12" s="17" t="s">
        <v>169</v>
      </c>
      <c r="E12" s="18" t="s">
        <v>27</v>
      </c>
      <c r="F12" s="18" t="s">
        <v>170</v>
      </c>
      <c r="G12" s="18" t="n">
        <f aca="false">COUNTA(Matrix!K$5:K$21)</f>
        <v>1</v>
      </c>
      <c r="H12" s="17" t="s">
        <v>171</v>
      </c>
    </row>
    <row r="13" customFormat="false" ht="53.7" hidden="false" customHeight="false" outlineLevel="0" collapsed="false">
      <c r="A13" s="16" t="s">
        <v>70</v>
      </c>
      <c r="B13" s="17" t="s">
        <v>172</v>
      </c>
      <c r="C13" s="17" t="s">
        <v>146</v>
      </c>
      <c r="D13" s="17" t="s">
        <v>173</v>
      </c>
      <c r="E13" s="18" t="s">
        <v>21</v>
      </c>
      <c r="F13" s="18" t="s">
        <v>99</v>
      </c>
      <c r="G13" s="18" t="n">
        <f aca="false">COUNTA(Matrix!L$5:L$21)</f>
        <v>3</v>
      </c>
      <c r="H13" s="17" t="s">
        <v>174</v>
      </c>
    </row>
    <row r="14" customFormat="false" ht="15" hidden="false" customHeight="false" outlineLevel="0" collapsed="false">
      <c r="A14" s="16" t="s">
        <v>71</v>
      </c>
      <c r="B14" s="17" t="s">
        <v>175</v>
      </c>
      <c r="C14" s="17" t="s">
        <v>176</v>
      </c>
      <c r="D14" s="17" t="s">
        <v>177</v>
      </c>
      <c r="E14" s="18" t="s">
        <v>27</v>
      </c>
      <c r="F14" s="18" t="s">
        <v>170</v>
      </c>
      <c r="G14" s="18" t="n">
        <f aca="false">COUNTA(Matrix!M$5:M$21)</f>
        <v>5</v>
      </c>
      <c r="H14" s="17" t="s">
        <v>178</v>
      </c>
    </row>
    <row r="15" customFormat="false" ht="22.35" hidden="false" customHeight="false" outlineLevel="0" collapsed="false">
      <c r="A15" s="16" t="s">
        <v>72</v>
      </c>
      <c r="B15" s="17" t="s">
        <v>179</v>
      </c>
      <c r="C15" s="17" t="s">
        <v>153</v>
      </c>
      <c r="D15" s="17" t="s">
        <v>154</v>
      </c>
      <c r="E15" s="18" t="s">
        <v>27</v>
      </c>
      <c r="F15" s="18" t="s">
        <v>104</v>
      </c>
      <c r="G15" s="18" t="n">
        <f aca="false">COUNTA(Matrix!N$5:N$21)</f>
        <v>1</v>
      </c>
      <c r="H15" s="17" t="s">
        <v>180</v>
      </c>
    </row>
    <row r="16" customFormat="false" ht="53.7" hidden="false" customHeight="false" outlineLevel="0" collapsed="false">
      <c r="A16" s="16" t="s">
        <v>73</v>
      </c>
      <c r="B16" s="17" t="s">
        <v>181</v>
      </c>
      <c r="C16" s="17" t="s">
        <v>182</v>
      </c>
      <c r="D16" s="17" t="s">
        <v>183</v>
      </c>
      <c r="E16" s="18" t="s">
        <v>27</v>
      </c>
      <c r="F16" s="18" t="s">
        <v>170</v>
      </c>
      <c r="G16" s="18" t="n">
        <f aca="false">COUNTA(Matrix!O$5:O$21)</f>
        <v>4</v>
      </c>
      <c r="H16" s="17" t="s">
        <v>184</v>
      </c>
    </row>
  </sheetData>
  <autoFilter ref="A4:H16"/>
  <conditionalFormatting sqref="E5:E16">
    <cfRule type="cellIs" priority="2" operator="equal" aboveAverage="0" equalAverage="0" bottom="0" percent="0" rank="0" text="" dxfId="6">
      <formula>"LIVE"</formula>
    </cfRule>
    <cfRule type="cellIs" priority="3" operator="equal" aboveAverage="0" equalAverage="0" bottom="0" percent="0" rank="0" text="" dxfId="13">
      <formula>"PARTIAL"</formula>
    </cfRule>
    <cfRule type="cellIs" priority="4" operator="equal" aboveAverage="0" equalAverage="0" bottom="0" percent="0" rank="0" text="" dxfId="14">
      <formula>"ASSUMED"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78"/>
  </cols>
  <sheetData>
    <row r="1" customFormat="false" ht="18.5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185</v>
      </c>
    </row>
    <row r="4" customFormat="false" ht="27.75" hidden="false" customHeight="true" outlineLevel="0" collapsed="false">
      <c r="A4" s="7" t="s">
        <v>134</v>
      </c>
      <c r="B4" s="7" t="s">
        <v>135</v>
      </c>
      <c r="C4" s="7" t="s">
        <v>136</v>
      </c>
      <c r="D4" s="7" t="s">
        <v>137</v>
      </c>
      <c r="E4" s="7" t="s">
        <v>138</v>
      </c>
      <c r="F4" s="7" t="s">
        <v>60</v>
      </c>
      <c r="G4" s="7" t="s">
        <v>139</v>
      </c>
      <c r="H4" s="7" t="s">
        <v>140</v>
      </c>
    </row>
    <row r="5" customFormat="false" ht="43.25" hidden="false" customHeight="false" outlineLevel="0" collapsed="false">
      <c r="A5" s="16" t="s">
        <v>74</v>
      </c>
      <c r="B5" s="17" t="s">
        <v>186</v>
      </c>
      <c r="C5" s="17" t="s">
        <v>187</v>
      </c>
      <c r="D5" s="17" t="s">
        <v>188</v>
      </c>
      <c r="E5" s="18" t="s">
        <v>21</v>
      </c>
      <c r="F5" s="18" t="s">
        <v>99</v>
      </c>
      <c r="G5" s="18" t="n">
        <f aca="false">COUNTA(Matrix!P$5:P$21)</f>
        <v>13</v>
      </c>
      <c r="H5" s="17" t="s">
        <v>189</v>
      </c>
    </row>
    <row r="6" customFormat="false" ht="53.7" hidden="false" customHeight="false" outlineLevel="0" collapsed="false">
      <c r="A6" s="16" t="s">
        <v>75</v>
      </c>
      <c r="B6" s="17" t="s">
        <v>190</v>
      </c>
      <c r="C6" s="17" t="s">
        <v>187</v>
      </c>
      <c r="D6" s="17" t="s">
        <v>191</v>
      </c>
      <c r="E6" s="18" t="s">
        <v>21</v>
      </c>
      <c r="F6" s="18" t="s">
        <v>99</v>
      </c>
      <c r="G6" s="18" t="n">
        <f aca="false">COUNTA(Matrix!Q$5:Q$21)</f>
        <v>3</v>
      </c>
      <c r="H6" s="17" t="s">
        <v>192</v>
      </c>
    </row>
    <row r="7" customFormat="false" ht="22.35" hidden="false" customHeight="false" outlineLevel="0" collapsed="false">
      <c r="A7" s="16" t="s">
        <v>76</v>
      </c>
      <c r="B7" s="17" t="s">
        <v>193</v>
      </c>
      <c r="C7" s="17" t="s">
        <v>187</v>
      </c>
      <c r="D7" s="17" t="s">
        <v>194</v>
      </c>
      <c r="E7" s="18" t="s">
        <v>27</v>
      </c>
      <c r="F7" s="18" t="s">
        <v>104</v>
      </c>
      <c r="G7" s="18" t="n">
        <f aca="false">COUNTA(Matrix!R$5:R$21)</f>
        <v>3</v>
      </c>
      <c r="H7" s="17" t="s">
        <v>195</v>
      </c>
    </row>
    <row r="8" customFormat="false" ht="53.7" hidden="false" customHeight="false" outlineLevel="0" collapsed="false">
      <c r="A8" s="16" t="s">
        <v>77</v>
      </c>
      <c r="B8" s="17" t="s">
        <v>196</v>
      </c>
      <c r="C8" s="17" t="s">
        <v>197</v>
      </c>
      <c r="D8" s="17" t="s">
        <v>198</v>
      </c>
      <c r="E8" s="18" t="s">
        <v>27</v>
      </c>
      <c r="F8" s="18" t="s">
        <v>104</v>
      </c>
      <c r="G8" s="18" t="n">
        <f aca="false">COUNTA(Matrix!S$5:S$21)</f>
        <v>9</v>
      </c>
      <c r="H8" s="17" t="s">
        <v>199</v>
      </c>
    </row>
    <row r="9" customFormat="false" ht="22.35" hidden="false" customHeight="false" outlineLevel="0" collapsed="false">
      <c r="A9" s="16" t="s">
        <v>78</v>
      </c>
      <c r="B9" s="17" t="s">
        <v>200</v>
      </c>
      <c r="C9" s="17" t="s">
        <v>201</v>
      </c>
      <c r="D9" s="17" t="s">
        <v>202</v>
      </c>
      <c r="E9" s="18" t="s">
        <v>27</v>
      </c>
      <c r="F9" s="18" t="s">
        <v>170</v>
      </c>
      <c r="G9" s="18" t="n">
        <f aca="false">COUNTA(Matrix!T$5:T$21)</f>
        <v>4</v>
      </c>
      <c r="H9" s="17" t="s">
        <v>203</v>
      </c>
    </row>
    <row r="10" customFormat="false" ht="53.7" hidden="false" customHeight="false" outlineLevel="0" collapsed="false">
      <c r="A10" s="16" t="s">
        <v>79</v>
      </c>
      <c r="B10" s="17" t="s">
        <v>204</v>
      </c>
      <c r="C10" s="17" t="s">
        <v>201</v>
      </c>
      <c r="D10" s="17" t="s">
        <v>205</v>
      </c>
      <c r="E10" s="18" t="s">
        <v>21</v>
      </c>
      <c r="F10" s="18" t="s">
        <v>99</v>
      </c>
      <c r="G10" s="18" t="n">
        <f aca="false">COUNTA(Matrix!U$5:U$21)</f>
        <v>5</v>
      </c>
      <c r="H10" s="17" t="s">
        <v>206</v>
      </c>
    </row>
    <row r="11" customFormat="false" ht="22.35" hidden="false" customHeight="false" outlineLevel="0" collapsed="false">
      <c r="A11" s="16" t="s">
        <v>80</v>
      </c>
      <c r="B11" s="17" t="s">
        <v>207</v>
      </c>
      <c r="C11" s="17" t="s">
        <v>197</v>
      </c>
      <c r="D11" s="17" t="s">
        <v>208</v>
      </c>
      <c r="E11" s="18" t="s">
        <v>27</v>
      </c>
      <c r="F11" s="18" t="s">
        <v>170</v>
      </c>
      <c r="G11" s="18" t="n">
        <f aca="false">COUNTA(Matrix!V$5:V$21)</f>
        <v>3</v>
      </c>
      <c r="H11" s="17" t="s">
        <v>209</v>
      </c>
    </row>
    <row r="12" customFormat="false" ht="74.6" hidden="false" customHeight="false" outlineLevel="0" collapsed="false">
      <c r="A12" s="16" t="s">
        <v>81</v>
      </c>
      <c r="B12" s="17" t="s">
        <v>210</v>
      </c>
      <c r="C12" s="17" t="s">
        <v>201</v>
      </c>
      <c r="D12" s="17" t="s">
        <v>211</v>
      </c>
      <c r="E12" s="18" t="s">
        <v>21</v>
      </c>
      <c r="F12" s="18" t="s">
        <v>99</v>
      </c>
      <c r="G12" s="18" t="n">
        <f aca="false">COUNTA(Matrix!W$5:W$21)</f>
        <v>13</v>
      </c>
      <c r="H12" s="17" t="s">
        <v>212</v>
      </c>
    </row>
    <row r="13" customFormat="false" ht="32.8" hidden="false" customHeight="false" outlineLevel="0" collapsed="false">
      <c r="A13" s="16" t="s">
        <v>82</v>
      </c>
      <c r="B13" s="17" t="s">
        <v>213</v>
      </c>
      <c r="C13" s="17" t="s">
        <v>176</v>
      </c>
      <c r="D13" s="17" t="s">
        <v>214</v>
      </c>
      <c r="E13" s="18" t="s">
        <v>27</v>
      </c>
      <c r="F13" s="18" t="s">
        <v>170</v>
      </c>
      <c r="G13" s="18" t="n">
        <f aca="false">COUNTA(Matrix!X$5:X$21)</f>
        <v>10</v>
      </c>
      <c r="H13" s="17" t="s">
        <v>215</v>
      </c>
    </row>
    <row r="14" customFormat="false" ht="15" hidden="false" customHeight="false" outlineLevel="0" collapsed="false">
      <c r="A14" s="16" t="s">
        <v>83</v>
      </c>
      <c r="B14" s="17" t="s">
        <v>216</v>
      </c>
      <c r="C14" s="17" t="s">
        <v>187</v>
      </c>
      <c r="D14" s="17" t="s">
        <v>217</v>
      </c>
      <c r="E14" s="18" t="s">
        <v>27</v>
      </c>
      <c r="F14" s="18" t="s">
        <v>104</v>
      </c>
      <c r="G14" s="18" t="n">
        <f aca="false">COUNTA(Matrix!Y$5:Y$21)</f>
        <v>2</v>
      </c>
      <c r="H14" s="17" t="s">
        <v>218</v>
      </c>
    </row>
    <row r="15" customFormat="false" ht="43.25" hidden="false" customHeight="false" outlineLevel="0" collapsed="false">
      <c r="A15" s="16" t="s">
        <v>84</v>
      </c>
      <c r="B15" s="17" t="s">
        <v>219</v>
      </c>
      <c r="C15" s="17" t="s">
        <v>187</v>
      </c>
      <c r="D15" s="17" t="s">
        <v>220</v>
      </c>
      <c r="E15" s="18" t="s">
        <v>27</v>
      </c>
      <c r="F15" s="18" t="s">
        <v>112</v>
      </c>
      <c r="G15" s="18" t="n">
        <f aca="false">COUNTA(Matrix!Z$5:Z$21)</f>
        <v>2</v>
      </c>
      <c r="H15" s="17" t="s">
        <v>221</v>
      </c>
    </row>
    <row r="16" customFormat="false" ht="15" hidden="false" customHeight="false" outlineLevel="0" collapsed="false">
      <c r="A16" s="16" t="s">
        <v>85</v>
      </c>
      <c r="B16" s="17" t="s">
        <v>222</v>
      </c>
      <c r="C16" s="17" t="s">
        <v>187</v>
      </c>
      <c r="D16" s="17" t="s">
        <v>223</v>
      </c>
      <c r="E16" s="18" t="s">
        <v>27</v>
      </c>
      <c r="F16" s="18" t="s">
        <v>112</v>
      </c>
      <c r="G16" s="18" t="n">
        <f aca="false">COUNTA(Matrix!AA$5:AA$21)</f>
        <v>2</v>
      </c>
      <c r="H16" s="17" t="s">
        <v>224</v>
      </c>
    </row>
    <row r="17" customFormat="false" ht="32.8" hidden="false" customHeight="false" outlineLevel="0" collapsed="false">
      <c r="A17" s="16" t="s">
        <v>86</v>
      </c>
      <c r="B17" s="17" t="s">
        <v>225</v>
      </c>
      <c r="C17" s="17" t="s">
        <v>201</v>
      </c>
      <c r="D17" s="17" t="s">
        <v>226</v>
      </c>
      <c r="E17" s="18" t="s">
        <v>27</v>
      </c>
      <c r="F17" s="18" t="s">
        <v>104</v>
      </c>
      <c r="G17" s="18" t="n">
        <f aca="false">COUNTA(Matrix!AB$5:AB$21)</f>
        <v>2</v>
      </c>
      <c r="H17" s="17" t="s">
        <v>227</v>
      </c>
    </row>
    <row r="18" customFormat="false" ht="32.8" hidden="false" customHeight="false" outlineLevel="0" collapsed="false">
      <c r="A18" s="16" t="s">
        <v>87</v>
      </c>
      <c r="B18" s="17" t="s">
        <v>204</v>
      </c>
      <c r="C18" s="17" t="s">
        <v>197</v>
      </c>
      <c r="D18" s="17" t="s">
        <v>228</v>
      </c>
      <c r="E18" s="18" t="s">
        <v>27</v>
      </c>
      <c r="F18" s="18" t="s">
        <v>104</v>
      </c>
      <c r="G18" s="18" t="n">
        <f aca="false">COUNTA(Matrix!AC$5:AC$21)</f>
        <v>2</v>
      </c>
      <c r="H18" s="17" t="s">
        <v>229</v>
      </c>
    </row>
    <row r="19" customFormat="false" ht="15" hidden="false" customHeight="false" outlineLevel="0" collapsed="false">
      <c r="A19" s="16" t="s">
        <v>88</v>
      </c>
      <c r="B19" s="17" t="s">
        <v>204</v>
      </c>
      <c r="C19" s="17" t="s">
        <v>197</v>
      </c>
      <c r="D19" s="17" t="s">
        <v>230</v>
      </c>
      <c r="E19" s="18" t="s">
        <v>27</v>
      </c>
      <c r="F19" s="18" t="s">
        <v>104</v>
      </c>
      <c r="G19" s="18" t="n">
        <f aca="false">COUNTA(Matrix!AD$5:AD$21)</f>
        <v>1</v>
      </c>
      <c r="H19" s="17" t="s">
        <v>231</v>
      </c>
    </row>
    <row r="20" customFormat="false" ht="32.8" hidden="false" customHeight="false" outlineLevel="0" collapsed="false">
      <c r="A20" s="16" t="s">
        <v>89</v>
      </c>
      <c r="B20" s="17" t="s">
        <v>186</v>
      </c>
      <c r="C20" s="17" t="s">
        <v>187</v>
      </c>
      <c r="D20" s="17" t="s">
        <v>232</v>
      </c>
      <c r="E20" s="18" t="s">
        <v>27</v>
      </c>
      <c r="F20" s="18" t="s">
        <v>112</v>
      </c>
      <c r="G20" s="18" t="n">
        <f aca="false">COUNTA(Matrix!AE$5:AE$21)</f>
        <v>2</v>
      </c>
      <c r="H20" s="17" t="s">
        <v>233</v>
      </c>
    </row>
    <row r="21" customFormat="false" ht="32.8" hidden="false" customHeight="false" outlineLevel="0" collapsed="false">
      <c r="A21" s="16" t="s">
        <v>90</v>
      </c>
      <c r="B21" s="17" t="s">
        <v>234</v>
      </c>
      <c r="C21" s="17" t="s">
        <v>187</v>
      </c>
      <c r="D21" s="17" t="s">
        <v>235</v>
      </c>
      <c r="E21" s="18" t="s">
        <v>27</v>
      </c>
      <c r="F21" s="18" t="s">
        <v>162</v>
      </c>
      <c r="G21" s="18" t="n">
        <f aca="false">COUNTA(Matrix!AF$5:AF$21)</f>
        <v>1</v>
      </c>
      <c r="H21" s="17" t="s">
        <v>236</v>
      </c>
    </row>
    <row r="22" customFormat="false" ht="43.25" hidden="false" customHeight="false" outlineLevel="0" collapsed="false">
      <c r="A22" s="16" t="s">
        <v>91</v>
      </c>
      <c r="B22" s="17" t="s">
        <v>237</v>
      </c>
      <c r="C22" s="17" t="s">
        <v>201</v>
      </c>
      <c r="D22" s="17" t="s">
        <v>238</v>
      </c>
      <c r="E22" s="18" t="s">
        <v>21</v>
      </c>
      <c r="F22" s="18" t="s">
        <v>99</v>
      </c>
      <c r="G22" s="18" t="n">
        <f aca="false">COUNTA(Matrix!AG$5:AG$21)</f>
        <v>2</v>
      </c>
      <c r="H22" s="17" t="s">
        <v>239</v>
      </c>
    </row>
    <row r="23" customFormat="false" ht="43.25" hidden="false" customHeight="false" outlineLevel="0" collapsed="false">
      <c r="A23" s="16" t="s">
        <v>92</v>
      </c>
      <c r="B23" s="17" t="s">
        <v>240</v>
      </c>
      <c r="C23" s="17" t="s">
        <v>187</v>
      </c>
      <c r="D23" s="17" t="s">
        <v>241</v>
      </c>
      <c r="E23" s="18" t="s">
        <v>27</v>
      </c>
      <c r="F23" s="18" t="s">
        <v>162</v>
      </c>
      <c r="G23" s="18" t="n">
        <f aca="false">COUNTA(Matrix!AH$5:AH$21)</f>
        <v>1</v>
      </c>
      <c r="H23" s="17" t="s">
        <v>242</v>
      </c>
    </row>
    <row r="24" customFormat="false" ht="32.8" hidden="false" customHeight="false" outlineLevel="0" collapsed="false">
      <c r="A24" s="16" t="s">
        <v>93</v>
      </c>
      <c r="B24" s="17" t="s">
        <v>243</v>
      </c>
      <c r="C24" s="17" t="s">
        <v>187</v>
      </c>
      <c r="D24" s="17" t="s">
        <v>244</v>
      </c>
      <c r="E24" s="18" t="s">
        <v>27</v>
      </c>
      <c r="F24" s="18" t="s">
        <v>170</v>
      </c>
      <c r="G24" s="18" t="n">
        <f aca="false">COUNTA(Matrix!AI$5:AI$21)</f>
        <v>1</v>
      </c>
      <c r="H24" s="17" t="s">
        <v>245</v>
      </c>
    </row>
    <row r="25" customFormat="false" ht="22.35" hidden="false" customHeight="false" outlineLevel="0" collapsed="false">
      <c r="A25" s="16" t="s">
        <v>94</v>
      </c>
      <c r="B25" s="17" t="s">
        <v>246</v>
      </c>
      <c r="C25" s="17" t="s">
        <v>197</v>
      </c>
      <c r="D25" s="17" t="s">
        <v>247</v>
      </c>
      <c r="E25" s="18" t="s">
        <v>21</v>
      </c>
      <c r="F25" s="18" t="s">
        <v>104</v>
      </c>
      <c r="G25" s="18" t="n">
        <f aca="false">COUNTA(Matrix!AJ$5:AJ$21)</f>
        <v>1</v>
      </c>
      <c r="H25" s="17" t="s">
        <v>248</v>
      </c>
    </row>
  </sheetData>
  <autoFilter ref="A4:H25"/>
  <conditionalFormatting sqref="E5:E25">
    <cfRule type="cellIs" priority="2" operator="equal" aboveAverage="0" equalAverage="0" bottom="0" percent="0" rank="0" text="" dxfId="6">
      <formula>"LIVE"</formula>
    </cfRule>
    <cfRule type="cellIs" priority="3" operator="equal" aboveAverage="0" equalAverage="0" bottom="0" percent="0" rank="0" text="" dxfId="13">
      <formula>"PARTIAL"</formula>
    </cfRule>
    <cfRule type="cellIs" priority="4" operator="equal" aboveAverage="0" equalAverage="0" bottom="0" percent="0" rank="0" text="" dxfId="14">
      <formula>"ASSUMED"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88"/>
  </cols>
  <sheetData>
    <row r="1" customFormat="false" ht="18.5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7" t="s">
        <v>251</v>
      </c>
      <c r="B4" s="7" t="s">
        <v>59</v>
      </c>
      <c r="C4" s="7" t="s">
        <v>135</v>
      </c>
      <c r="D4" s="7" t="s">
        <v>252</v>
      </c>
    </row>
    <row r="5" customFormat="false" ht="15" hidden="false" customHeight="false" outlineLevel="0" collapsed="false">
      <c r="A5" s="19" t="s">
        <v>253</v>
      </c>
      <c r="B5" s="17" t="s">
        <v>98</v>
      </c>
      <c r="C5" s="17" t="s">
        <v>254</v>
      </c>
      <c r="D5" s="17" t="s">
        <v>255</v>
      </c>
    </row>
    <row r="6" customFormat="false" ht="15" hidden="false" customHeight="false" outlineLevel="0" collapsed="false">
      <c r="A6" s="19" t="s">
        <v>256</v>
      </c>
      <c r="B6" s="17" t="s">
        <v>101</v>
      </c>
      <c r="C6" s="17" t="s">
        <v>257</v>
      </c>
      <c r="D6" s="17" t="s">
        <v>258</v>
      </c>
    </row>
    <row r="7" customFormat="false" ht="22.35" hidden="false" customHeight="false" outlineLevel="0" collapsed="false">
      <c r="A7" s="19" t="s">
        <v>259</v>
      </c>
      <c r="B7" s="17" t="s">
        <v>102</v>
      </c>
      <c r="C7" s="17" t="s">
        <v>257</v>
      </c>
      <c r="D7" s="17" t="s">
        <v>260</v>
      </c>
    </row>
    <row r="8" customFormat="false" ht="15" hidden="false" customHeight="false" outlineLevel="0" collapsed="false">
      <c r="A8" s="19" t="s">
        <v>261</v>
      </c>
      <c r="B8" s="17" t="s">
        <v>103</v>
      </c>
      <c r="C8" s="17" t="s">
        <v>262</v>
      </c>
      <c r="D8" s="17" t="s">
        <v>263</v>
      </c>
    </row>
    <row r="9" customFormat="false" ht="15" hidden="false" customHeight="false" outlineLevel="0" collapsed="false">
      <c r="A9" s="19" t="s">
        <v>264</v>
      </c>
      <c r="B9" s="17" t="s">
        <v>103</v>
      </c>
      <c r="C9" s="17" t="s">
        <v>262</v>
      </c>
      <c r="D9" s="17" t="s">
        <v>265</v>
      </c>
    </row>
    <row r="10" customFormat="false" ht="22.35" hidden="false" customHeight="false" outlineLevel="0" collapsed="false">
      <c r="A10" s="19" t="s">
        <v>266</v>
      </c>
      <c r="B10" s="17" t="s">
        <v>106</v>
      </c>
      <c r="C10" s="17" t="s">
        <v>267</v>
      </c>
      <c r="D10" s="17" t="s">
        <v>268</v>
      </c>
    </row>
    <row r="11" customFormat="false" ht="15" hidden="false" customHeight="false" outlineLevel="0" collapsed="false">
      <c r="A11" s="19" t="s">
        <v>269</v>
      </c>
      <c r="B11" s="17" t="s">
        <v>107</v>
      </c>
      <c r="C11" s="17" t="s">
        <v>270</v>
      </c>
      <c r="D11" s="17" t="s">
        <v>271</v>
      </c>
    </row>
    <row r="12" customFormat="false" ht="15" hidden="false" customHeight="false" outlineLevel="0" collapsed="false">
      <c r="A12" s="19" t="s">
        <v>272</v>
      </c>
      <c r="B12" s="17" t="s">
        <v>107</v>
      </c>
      <c r="C12" s="17" t="s">
        <v>273</v>
      </c>
      <c r="D12" s="17" t="s">
        <v>274</v>
      </c>
    </row>
    <row r="13" customFormat="false" ht="15" hidden="false" customHeight="false" outlineLevel="0" collapsed="false">
      <c r="A13" s="19" t="s">
        <v>275</v>
      </c>
      <c r="B13" s="17" t="s">
        <v>109</v>
      </c>
      <c r="C13" s="17" t="s">
        <v>267</v>
      </c>
      <c r="D13" s="17" t="s">
        <v>276</v>
      </c>
    </row>
    <row r="14" customFormat="false" ht="15" hidden="false" customHeight="false" outlineLevel="0" collapsed="false">
      <c r="A14" s="19" t="s">
        <v>277</v>
      </c>
      <c r="B14" s="17" t="s">
        <v>110</v>
      </c>
      <c r="C14" s="17" t="s">
        <v>267</v>
      </c>
      <c r="D14" s="17" t="s">
        <v>278</v>
      </c>
    </row>
    <row r="15" customFormat="false" ht="15" hidden="false" customHeight="false" outlineLevel="0" collapsed="false">
      <c r="A15" s="19" t="s">
        <v>279</v>
      </c>
      <c r="B15" s="17" t="s">
        <v>110</v>
      </c>
      <c r="C15" s="17" t="s">
        <v>280</v>
      </c>
      <c r="D15" s="17" t="s">
        <v>281</v>
      </c>
    </row>
    <row r="16" customFormat="false" ht="22.35" hidden="false" customHeight="false" outlineLevel="0" collapsed="false">
      <c r="A16" s="19" t="s">
        <v>282</v>
      </c>
      <c r="B16" s="17" t="s">
        <v>111</v>
      </c>
      <c r="C16" s="17" t="s">
        <v>257</v>
      </c>
      <c r="D16" s="17" t="s">
        <v>283</v>
      </c>
    </row>
    <row r="17" customFormat="false" ht="15" hidden="false" customHeight="false" outlineLevel="0" collapsed="false">
      <c r="A17" s="19" t="s">
        <v>284</v>
      </c>
      <c r="B17" s="17" t="s">
        <v>113</v>
      </c>
      <c r="C17" s="17" t="s">
        <v>285</v>
      </c>
      <c r="D17" s="17" t="s">
        <v>286</v>
      </c>
    </row>
    <row r="18" customFormat="false" ht="15" hidden="false" customHeight="false" outlineLevel="0" collapsed="false">
      <c r="A18" s="19" t="s">
        <v>287</v>
      </c>
      <c r="B18" s="17" t="s">
        <v>115</v>
      </c>
      <c r="C18" s="17" t="s">
        <v>288</v>
      </c>
      <c r="D18" s="17" t="s">
        <v>289</v>
      </c>
    </row>
    <row r="19" customFormat="false" ht="15" hidden="false" customHeight="false" outlineLevel="0" collapsed="false">
      <c r="A19" s="19" t="s">
        <v>290</v>
      </c>
      <c r="B19" s="17" t="s">
        <v>117</v>
      </c>
      <c r="C19" s="17" t="s">
        <v>291</v>
      </c>
      <c r="D19" s="17" t="s">
        <v>292</v>
      </c>
    </row>
    <row r="20" customFormat="false" ht="15" hidden="false" customHeight="false" outlineLevel="0" collapsed="false">
      <c r="A20" s="19" t="s">
        <v>293</v>
      </c>
      <c r="B20" s="17" t="s">
        <v>118</v>
      </c>
      <c r="C20" s="17" t="s">
        <v>294</v>
      </c>
      <c r="D20" s="17" t="s">
        <v>295</v>
      </c>
    </row>
    <row r="21" customFormat="false" ht="15" hidden="false" customHeight="false" outlineLevel="0" collapsed="false">
      <c r="A21" s="19" t="s">
        <v>296</v>
      </c>
      <c r="B21" s="17" t="s">
        <v>297</v>
      </c>
      <c r="C21" s="17" t="s">
        <v>298</v>
      </c>
      <c r="D21" s="17" t="s">
        <v>299</v>
      </c>
    </row>
    <row r="22" customFormat="false" ht="22.35" hidden="false" customHeight="false" outlineLevel="0" collapsed="false">
      <c r="A22" s="19" t="s">
        <v>300</v>
      </c>
      <c r="B22" s="17" t="s">
        <v>126</v>
      </c>
      <c r="C22" s="17" t="s">
        <v>301</v>
      </c>
      <c r="D22" s="17" t="s">
        <v>302</v>
      </c>
    </row>
    <row r="24" customFormat="false" ht="15" hidden="false" customHeight="false" outlineLevel="0" collapsed="false">
      <c r="A24" s="15" t="s">
        <v>303</v>
      </c>
      <c r="B24" s="20" t="n">
        <f aca="false">COUNTA(A5:A22)</f>
        <v>18</v>
      </c>
    </row>
  </sheetData>
  <autoFilter ref="A4:D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74"/>
    <col collapsed="false" customWidth="true" hidden="false" outlineLevel="0" max="5" min="5" style="0" width="68"/>
  </cols>
  <sheetData>
    <row r="1" customFormat="false" ht="18.5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4" customFormat="false" ht="15" hidden="false" customHeight="false" outlineLevel="0" collapsed="false">
      <c r="A4" s="7" t="s">
        <v>306</v>
      </c>
      <c r="B4" s="7" t="s">
        <v>134</v>
      </c>
      <c r="C4" s="7" t="s">
        <v>307</v>
      </c>
      <c r="D4" s="7" t="s">
        <v>308</v>
      </c>
      <c r="E4" s="7" t="s">
        <v>309</v>
      </c>
    </row>
    <row r="5" customFormat="false" ht="64.15" hidden="false" customHeight="false" outlineLevel="0" collapsed="false">
      <c r="A5" s="18" t="s">
        <v>310</v>
      </c>
      <c r="B5" s="16" t="s">
        <v>81</v>
      </c>
      <c r="C5" s="16" t="s">
        <v>311</v>
      </c>
      <c r="D5" s="17" t="s">
        <v>312</v>
      </c>
      <c r="E5" s="17" t="s">
        <v>313</v>
      </c>
    </row>
    <row r="6" customFormat="false" ht="32.8" hidden="false" customHeight="false" outlineLevel="0" collapsed="false">
      <c r="A6" s="18" t="s">
        <v>310</v>
      </c>
      <c r="B6" s="16" t="s">
        <v>77</v>
      </c>
      <c r="C6" s="16" t="s">
        <v>314</v>
      </c>
      <c r="D6" s="17" t="s">
        <v>315</v>
      </c>
      <c r="E6" s="17" t="s">
        <v>316</v>
      </c>
    </row>
    <row r="7" customFormat="false" ht="32.8" hidden="false" customHeight="false" outlineLevel="0" collapsed="false">
      <c r="A7" s="18" t="s">
        <v>317</v>
      </c>
      <c r="B7" s="16" t="s">
        <v>62</v>
      </c>
      <c r="C7" s="16" t="s">
        <v>318</v>
      </c>
      <c r="D7" s="17" t="s">
        <v>319</v>
      </c>
      <c r="E7" s="17" t="s">
        <v>320</v>
      </c>
    </row>
    <row r="8" customFormat="false" ht="43.25" hidden="false" customHeight="false" outlineLevel="0" collapsed="false">
      <c r="A8" s="18" t="s">
        <v>317</v>
      </c>
      <c r="B8" s="16" t="s">
        <v>321</v>
      </c>
      <c r="C8" s="16" t="s">
        <v>322</v>
      </c>
      <c r="D8" s="17" t="s">
        <v>323</v>
      </c>
      <c r="E8" s="17" t="s">
        <v>324</v>
      </c>
    </row>
    <row r="9" customFormat="false" ht="22.35" hidden="false" customHeight="false" outlineLevel="0" collapsed="false">
      <c r="A9" s="18" t="s">
        <v>317</v>
      </c>
      <c r="B9" s="16" t="s">
        <v>79</v>
      </c>
      <c r="C9" s="16" t="s">
        <v>325</v>
      </c>
      <c r="D9" s="17" t="s">
        <v>326</v>
      </c>
      <c r="E9" s="17" t="s">
        <v>327</v>
      </c>
    </row>
    <row r="10" customFormat="false" ht="32.8" hidden="false" customHeight="false" outlineLevel="0" collapsed="false">
      <c r="A10" s="18" t="s">
        <v>317</v>
      </c>
      <c r="B10" s="16" t="s">
        <v>70</v>
      </c>
      <c r="C10" s="16" t="s">
        <v>328</v>
      </c>
      <c r="D10" s="17" t="s">
        <v>329</v>
      </c>
      <c r="E10" s="17" t="s">
        <v>330</v>
      </c>
    </row>
    <row r="11" customFormat="false" ht="32.8" hidden="false" customHeight="false" outlineLevel="0" collapsed="false">
      <c r="A11" s="18" t="s">
        <v>317</v>
      </c>
      <c r="B11" s="16" t="s">
        <v>92</v>
      </c>
      <c r="C11" s="16" t="s">
        <v>331</v>
      </c>
      <c r="D11" s="17" t="s">
        <v>332</v>
      </c>
      <c r="E11" s="17" t="s">
        <v>333</v>
      </c>
    </row>
    <row r="12" customFormat="false" ht="22.35" hidden="false" customHeight="false" outlineLevel="0" collapsed="false">
      <c r="A12" s="18" t="s">
        <v>334</v>
      </c>
      <c r="B12" s="16" t="s">
        <v>81</v>
      </c>
      <c r="C12" s="16" t="s">
        <v>335</v>
      </c>
      <c r="D12" s="17" t="s">
        <v>336</v>
      </c>
      <c r="E12" s="17" t="s">
        <v>337</v>
      </c>
    </row>
    <row r="13" customFormat="false" ht="22.35" hidden="false" customHeight="false" outlineLevel="0" collapsed="false">
      <c r="A13" s="18" t="s">
        <v>334</v>
      </c>
      <c r="B13" s="16" t="s">
        <v>66</v>
      </c>
      <c r="C13" s="16" t="s">
        <v>338</v>
      </c>
      <c r="D13" s="17" t="s">
        <v>339</v>
      </c>
      <c r="E13" s="17" t="s">
        <v>340</v>
      </c>
    </row>
    <row r="14" customFormat="false" ht="22.35" hidden="false" customHeight="false" outlineLevel="0" collapsed="false">
      <c r="A14" s="18" t="s">
        <v>334</v>
      </c>
      <c r="B14" s="16" t="s">
        <v>87</v>
      </c>
      <c r="C14" s="16" t="s">
        <v>341</v>
      </c>
      <c r="D14" s="17" t="s">
        <v>342</v>
      </c>
      <c r="E14" s="17" t="s">
        <v>343</v>
      </c>
    </row>
    <row r="15" customFormat="false" ht="22.35" hidden="false" customHeight="false" outlineLevel="0" collapsed="false">
      <c r="A15" s="18" t="s">
        <v>334</v>
      </c>
      <c r="B15" s="16" t="s">
        <v>86</v>
      </c>
      <c r="C15" s="16" t="s">
        <v>344</v>
      </c>
      <c r="D15" s="17" t="s">
        <v>345</v>
      </c>
      <c r="E15" s="17" t="s">
        <v>346</v>
      </c>
    </row>
    <row r="16" customFormat="false" ht="22.35" hidden="false" customHeight="false" outlineLevel="0" collapsed="false">
      <c r="A16" s="18" t="s">
        <v>347</v>
      </c>
      <c r="B16" s="16" t="s">
        <v>82</v>
      </c>
      <c r="C16" s="16" t="s">
        <v>348</v>
      </c>
      <c r="D16" s="17" t="s">
        <v>349</v>
      </c>
      <c r="E16" s="17" t="s">
        <v>350</v>
      </c>
    </row>
    <row r="17" customFormat="false" ht="22.35" hidden="false" customHeight="false" outlineLevel="0" collapsed="false">
      <c r="A17" s="18" t="s">
        <v>351</v>
      </c>
      <c r="B17" s="16" t="s">
        <v>89</v>
      </c>
      <c r="C17" s="16" t="s">
        <v>352</v>
      </c>
      <c r="D17" s="17" t="s">
        <v>353</v>
      </c>
      <c r="E17" s="17" t="s">
        <v>354</v>
      </c>
    </row>
    <row r="18" customFormat="false" ht="22.35" hidden="false" customHeight="false" outlineLevel="0" collapsed="false">
      <c r="A18" s="18" t="s">
        <v>351</v>
      </c>
      <c r="B18" s="16" t="s">
        <v>70</v>
      </c>
      <c r="C18" s="16" t="s">
        <v>355</v>
      </c>
      <c r="D18" s="17" t="s">
        <v>356</v>
      </c>
      <c r="E18" s="17" t="s">
        <v>357</v>
      </c>
    </row>
    <row r="19" customFormat="false" ht="32.8" hidden="false" customHeight="false" outlineLevel="0" collapsed="false">
      <c r="A19" s="18" t="s">
        <v>351</v>
      </c>
      <c r="B19" s="16" t="s">
        <v>84</v>
      </c>
      <c r="C19" s="16" t="s">
        <v>358</v>
      </c>
      <c r="D19" s="17" t="s">
        <v>359</v>
      </c>
      <c r="E19" s="17" t="s">
        <v>360</v>
      </c>
    </row>
    <row r="20" customFormat="false" ht="32.8" hidden="false" customHeight="false" outlineLevel="0" collapsed="false">
      <c r="A20" s="18" t="s">
        <v>351</v>
      </c>
      <c r="B20" s="16" t="s">
        <v>62</v>
      </c>
      <c r="C20" s="16" t="s">
        <v>361</v>
      </c>
      <c r="D20" s="17" t="s">
        <v>362</v>
      </c>
      <c r="E20" s="17" t="s">
        <v>363</v>
      </c>
    </row>
    <row r="21" customFormat="false" ht="22.35" hidden="false" customHeight="false" outlineLevel="0" collapsed="false">
      <c r="A21" s="18" t="s">
        <v>364</v>
      </c>
      <c r="B21" s="16" t="s">
        <v>365</v>
      </c>
      <c r="C21" s="16" t="s">
        <v>366</v>
      </c>
      <c r="D21" s="17" t="s">
        <v>367</v>
      </c>
      <c r="E21" s="17" t="s">
        <v>368</v>
      </c>
    </row>
    <row r="22" customFormat="false" ht="22.35" hidden="false" customHeight="false" outlineLevel="0" collapsed="false">
      <c r="A22" s="18" t="s">
        <v>364</v>
      </c>
      <c r="B22" s="16" t="s">
        <v>73</v>
      </c>
      <c r="C22" s="16" t="s">
        <v>369</v>
      </c>
      <c r="D22" s="17" t="s">
        <v>370</v>
      </c>
      <c r="E22" s="17" t="s">
        <v>371</v>
      </c>
    </row>
    <row r="24" customFormat="false" ht="15" hidden="false" customHeight="false" outlineLevel="0" collapsed="false">
      <c r="C24" s="15" t="s">
        <v>372</v>
      </c>
      <c r="D24" s="20" t="n">
        <f aca="false">COUNTIF(A5:A22,"CRITICAL")</f>
        <v>2</v>
      </c>
    </row>
    <row r="25" customFormat="false" ht="15" hidden="false" customHeight="false" outlineLevel="0" collapsed="false">
      <c r="C25" s="15" t="s">
        <v>373</v>
      </c>
      <c r="D25" s="20" t="n">
        <f aca="false">COUNTIF(A5:A22,"HIGH")</f>
        <v>5</v>
      </c>
    </row>
    <row r="26" customFormat="false" ht="15" hidden="false" customHeight="false" outlineLevel="0" collapsed="false">
      <c r="C26" s="15" t="s">
        <v>374</v>
      </c>
      <c r="D26" s="20" t="n">
        <f aca="false">COUNTIF(A5:A22,"RESOLVED")</f>
        <v>4</v>
      </c>
    </row>
    <row r="27" customFormat="false" ht="15" hidden="false" customHeight="false" outlineLevel="0" collapsed="false">
      <c r="C27" s="15" t="s">
        <v>95</v>
      </c>
      <c r="D27" s="20" t="n">
        <f aca="false">COUNTA(A5:A22)</f>
        <v>18</v>
      </c>
    </row>
  </sheetData>
  <autoFilter ref="A4:E22"/>
  <conditionalFormatting sqref="A5:A22">
    <cfRule type="cellIs" priority="2" operator="equal" aboveAverage="0" equalAverage="0" bottom="0" percent="0" rank="0" text="" dxfId="23">
      <formula>"CRITICAL"</formula>
    </cfRule>
    <cfRule type="cellIs" priority="3" operator="equal" aboveAverage="0" equalAverage="0" bottom="0" percent="0" rank="0" text="" dxfId="24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25">
      <formula>"LOW"</formula>
    </cfRule>
    <cfRule type="cellIs" priority="6" operator="equal" aboveAverage="0" equalAverage="0" bottom="0" percent="0" rank="0" text="" dxfId="26">
      <formula>"OPEN"</formula>
    </cfRule>
    <cfRule type="cellIs" priority="7" operator="equal" aboveAverage="0" equalAverage="0" bottom="0" percent="0" rank="0" text="" dxfId="6">
      <formula>"RESOLVED"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5" min="3" style="0" width="8"/>
    <col collapsed="false" customWidth="true" hidden="false" outlineLevel="0" max="6" min="6" style="0" width="80"/>
  </cols>
  <sheetData>
    <row r="1" customFormat="false" ht="18.55" hidden="false" customHeight="false" outlineLevel="0" collapsed="false">
      <c r="A1" s="1" t="s">
        <v>375</v>
      </c>
    </row>
    <row r="2" customFormat="false" ht="15" hidden="false" customHeight="false" outlineLevel="0" collapsed="false">
      <c r="A2" s="2" t="s">
        <v>376</v>
      </c>
    </row>
    <row r="4" customFormat="false" ht="15" hidden="false" customHeight="false" outlineLevel="0" collapsed="false">
      <c r="A4" s="7" t="s">
        <v>60</v>
      </c>
      <c r="B4" s="7" t="s">
        <v>377</v>
      </c>
      <c r="C4" s="7" t="s">
        <v>378</v>
      </c>
      <c r="D4" s="7" t="s">
        <v>47</v>
      </c>
      <c r="E4" s="7" t="s">
        <v>95</v>
      </c>
      <c r="F4" s="7" t="s">
        <v>379</v>
      </c>
    </row>
    <row r="5" customFormat="false" ht="53.7" hidden="false" customHeight="false" outlineLevel="0" collapsed="false">
      <c r="A5" s="21" t="s">
        <v>170</v>
      </c>
      <c r="B5" s="17" t="s">
        <v>380</v>
      </c>
      <c r="C5" s="22" t="n">
        <f aca="false">COUNTIF(Dimensions!$F$5:$F$16,$A5)</f>
        <v>3</v>
      </c>
      <c r="D5" s="22" t="n">
        <f aca="false">COUNTIF(Facts!$F$5:$F$25,$A5)</f>
        <v>4</v>
      </c>
      <c r="E5" s="22" t="n">
        <f aca="false">C5+D5</f>
        <v>7</v>
      </c>
      <c r="F5" s="17" t="s">
        <v>381</v>
      </c>
    </row>
    <row r="6" customFormat="false" ht="43.25" hidden="false" customHeight="false" outlineLevel="0" collapsed="false">
      <c r="A6" s="21" t="s">
        <v>99</v>
      </c>
      <c r="B6" s="17" t="s">
        <v>382</v>
      </c>
      <c r="C6" s="22" t="n">
        <f aca="false">COUNTIF(Dimensions!$F$5:$F$16,$A6)</f>
        <v>6</v>
      </c>
      <c r="D6" s="22" t="n">
        <f aca="false">COUNTIF(Facts!$F$5:$F$25,$A6)</f>
        <v>5</v>
      </c>
      <c r="E6" s="22" t="n">
        <f aca="false">C6+D6</f>
        <v>11</v>
      </c>
      <c r="F6" s="17" t="s">
        <v>383</v>
      </c>
    </row>
    <row r="7" customFormat="false" ht="43.25" hidden="false" customHeight="false" outlineLevel="0" collapsed="false">
      <c r="A7" s="21" t="s">
        <v>104</v>
      </c>
      <c r="B7" s="17" t="s">
        <v>384</v>
      </c>
      <c r="C7" s="22" t="n">
        <f aca="false">COUNTIF(Dimensions!$F$5:$F$16,$A7)</f>
        <v>1</v>
      </c>
      <c r="D7" s="22" t="n">
        <f aca="false">COUNTIF(Facts!$F$5:$F$25,$A7)</f>
        <v>7</v>
      </c>
      <c r="E7" s="22" t="n">
        <f aca="false">C7+D7</f>
        <v>8</v>
      </c>
      <c r="F7" s="17" t="s">
        <v>385</v>
      </c>
    </row>
    <row r="8" customFormat="false" ht="32.8" hidden="false" customHeight="false" outlineLevel="0" collapsed="false">
      <c r="A8" s="21" t="s">
        <v>112</v>
      </c>
      <c r="B8" s="17" t="s">
        <v>386</v>
      </c>
      <c r="C8" s="22" t="n">
        <f aca="false">COUNTIF(Dimensions!$F$5:$F$16,$A8)</f>
        <v>1</v>
      </c>
      <c r="D8" s="22" t="n">
        <f aca="false">COUNTIF(Facts!$F$5:$F$25,$A8)</f>
        <v>3</v>
      </c>
      <c r="E8" s="22" t="n">
        <f aca="false">C8+D8</f>
        <v>4</v>
      </c>
      <c r="F8" s="17" t="s">
        <v>387</v>
      </c>
    </row>
    <row r="9" customFormat="false" ht="22.35" hidden="false" customHeight="false" outlineLevel="0" collapsed="false">
      <c r="A9" s="21" t="s">
        <v>119</v>
      </c>
      <c r="B9" s="17" t="s">
        <v>388</v>
      </c>
      <c r="C9" s="22" t="n">
        <f aca="false">COUNTIF(Dimensions!$F$5:$F$16,$A9)</f>
        <v>0</v>
      </c>
      <c r="D9" s="22" t="n">
        <f aca="false">COUNTIF(Facts!$F$5:$F$25,$A9)</f>
        <v>0</v>
      </c>
      <c r="E9" s="22" t="n">
        <f aca="false">C9+D9</f>
        <v>0</v>
      </c>
      <c r="F9" s="17" t="s">
        <v>389</v>
      </c>
    </row>
    <row r="10" customFormat="false" ht="22.35" hidden="false" customHeight="false" outlineLevel="0" collapsed="false">
      <c r="A10" s="21" t="s">
        <v>114</v>
      </c>
      <c r="B10" s="17" t="s">
        <v>71</v>
      </c>
      <c r="C10" s="22" t="n">
        <f aca="false">COUNTIF(Dimensions!$F$5:$F$16,$A10)</f>
        <v>0</v>
      </c>
      <c r="D10" s="22" t="n">
        <f aca="false">COUNTIF(Facts!$F$5:$F$25,$A10)</f>
        <v>0</v>
      </c>
      <c r="E10" s="22" t="n">
        <f aca="false">C10+D10</f>
        <v>0</v>
      </c>
      <c r="F10" s="17" t="s">
        <v>390</v>
      </c>
    </row>
    <row r="11" customFormat="false" ht="22.35" hidden="false" customHeight="false" outlineLevel="0" collapsed="false">
      <c r="A11" s="21" t="s">
        <v>162</v>
      </c>
      <c r="B11" s="17" t="s">
        <v>391</v>
      </c>
      <c r="C11" s="22" t="n">
        <f aca="false">COUNTIF(Dimensions!$F$5:$F$16,$A11)</f>
        <v>1</v>
      </c>
      <c r="D11" s="22" t="n">
        <f aca="false">COUNTIF(Facts!$F$5:$F$25,$A11)</f>
        <v>2</v>
      </c>
      <c r="E11" s="22" t="n">
        <f aca="false">C11+D11</f>
        <v>3</v>
      </c>
      <c r="F11" s="17" t="s">
        <v>392</v>
      </c>
    </row>
    <row r="12" customFormat="false" ht="15" hidden="false" customHeight="false" outlineLevel="0" collapsed="false">
      <c r="A12" s="21"/>
      <c r="B12" s="23" t="s">
        <v>393</v>
      </c>
      <c r="C12" s="22" t="n">
        <f aca="false">SUM(C5:C11)</f>
        <v>12</v>
      </c>
      <c r="D12" s="22" t="n">
        <f aca="false">SUM(D5:D11)</f>
        <v>21</v>
      </c>
      <c r="E12" s="22" t="n">
        <f aca="false">SUM(E5:E11)</f>
        <v>33</v>
      </c>
      <c r="F1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6"/>
  </cols>
  <sheetData>
    <row r="1" customFormat="false" ht="18.55" hidden="false" customHeight="false" outlineLevel="0" collapsed="false">
      <c r="A1" s="1" t="s">
        <v>394</v>
      </c>
    </row>
    <row r="2" customFormat="false" ht="15" hidden="false" customHeight="false" outlineLevel="0" collapsed="false">
      <c r="A2" s="2" t="s">
        <v>395</v>
      </c>
    </row>
    <row r="4" customFormat="false" ht="15" hidden="false" customHeight="false" outlineLevel="0" collapsed="false">
      <c r="A4" s="7" t="s">
        <v>396</v>
      </c>
      <c r="B4" s="7" t="s">
        <v>134</v>
      </c>
      <c r="C4" s="7" t="s">
        <v>397</v>
      </c>
      <c r="D4" s="7" t="s">
        <v>398</v>
      </c>
      <c r="E4" s="7" t="s">
        <v>399</v>
      </c>
    </row>
    <row r="5" customFormat="false" ht="22.35" hidden="false" customHeight="false" outlineLevel="0" collapsed="false">
      <c r="A5" s="18" t="s">
        <v>400</v>
      </c>
      <c r="B5" s="16" t="s">
        <v>75</v>
      </c>
      <c r="C5" s="17" t="s">
        <v>401</v>
      </c>
      <c r="D5" s="17" t="s">
        <v>402</v>
      </c>
      <c r="E5" s="17" t="s">
        <v>403</v>
      </c>
    </row>
    <row r="6" customFormat="false" ht="22.35" hidden="false" customHeight="false" outlineLevel="0" collapsed="false">
      <c r="A6" s="18" t="s">
        <v>400</v>
      </c>
      <c r="B6" s="16" t="s">
        <v>74</v>
      </c>
      <c r="C6" s="17" t="s">
        <v>404</v>
      </c>
      <c r="D6" s="17" t="s">
        <v>405</v>
      </c>
      <c r="E6" s="17" t="s">
        <v>406</v>
      </c>
    </row>
    <row r="7" customFormat="false" ht="22.35" hidden="false" customHeight="false" outlineLevel="0" collapsed="false">
      <c r="A7" s="18" t="s">
        <v>400</v>
      </c>
      <c r="B7" s="16" t="s">
        <v>92</v>
      </c>
      <c r="C7" s="17" t="s">
        <v>404</v>
      </c>
      <c r="D7" s="17" t="s">
        <v>407</v>
      </c>
      <c r="E7" s="17" t="s">
        <v>408</v>
      </c>
    </row>
    <row r="8" customFormat="false" ht="15" hidden="false" customHeight="false" outlineLevel="0" collapsed="false">
      <c r="A8" s="18" t="s">
        <v>409</v>
      </c>
      <c r="B8" s="16" t="s">
        <v>91</v>
      </c>
      <c r="C8" s="17" t="s">
        <v>410</v>
      </c>
      <c r="D8" s="17" t="s">
        <v>402</v>
      </c>
      <c r="E8" s="17" t="s">
        <v>411</v>
      </c>
    </row>
    <row r="9" customFormat="false" ht="15" hidden="false" customHeight="false" outlineLevel="0" collapsed="false">
      <c r="A9" s="18" t="s">
        <v>400</v>
      </c>
      <c r="B9" s="16" t="s">
        <v>63</v>
      </c>
      <c r="C9" s="17" t="s">
        <v>412</v>
      </c>
      <c r="D9" s="17" t="s">
        <v>405</v>
      </c>
      <c r="E9" s="17" t="s">
        <v>413</v>
      </c>
    </row>
    <row r="10" customFormat="false" ht="22.35" hidden="false" customHeight="false" outlineLevel="0" collapsed="false">
      <c r="A10" s="18" t="s">
        <v>400</v>
      </c>
      <c r="B10" s="16" t="s">
        <v>62</v>
      </c>
      <c r="C10" s="17" t="s">
        <v>414</v>
      </c>
      <c r="D10" s="17" t="s">
        <v>415</v>
      </c>
      <c r="E10" s="17" t="s">
        <v>416</v>
      </c>
    </row>
    <row r="11" customFormat="false" ht="22.35" hidden="false" customHeight="false" outlineLevel="0" collapsed="false">
      <c r="A11" s="18" t="s">
        <v>417</v>
      </c>
      <c r="B11" s="16" t="s">
        <v>79</v>
      </c>
      <c r="C11" s="17" t="s">
        <v>418</v>
      </c>
      <c r="D11" s="17" t="s">
        <v>419</v>
      </c>
      <c r="E11" s="17" t="s">
        <v>420</v>
      </c>
    </row>
    <row r="12" customFormat="false" ht="15" hidden="false" customHeight="false" outlineLevel="0" collapsed="false">
      <c r="A12" s="18" t="s">
        <v>421</v>
      </c>
      <c r="B12" s="16" t="s">
        <v>84</v>
      </c>
      <c r="C12" s="17" t="s">
        <v>162</v>
      </c>
      <c r="D12" s="17" t="s">
        <v>112</v>
      </c>
      <c r="E12" s="17" t="s">
        <v>422</v>
      </c>
    </row>
    <row r="13" customFormat="false" ht="22.35" hidden="false" customHeight="false" outlineLevel="0" collapsed="false">
      <c r="A13" s="18" t="s">
        <v>421</v>
      </c>
      <c r="B13" s="16" t="s">
        <v>73</v>
      </c>
      <c r="C13" s="17" t="s">
        <v>99</v>
      </c>
      <c r="D13" s="17" t="s">
        <v>104</v>
      </c>
      <c r="E13" s="17" t="s">
        <v>423</v>
      </c>
    </row>
    <row r="14" customFormat="false" ht="15" hidden="false" customHeight="false" outlineLevel="0" collapsed="false">
      <c r="A14" s="18" t="s">
        <v>421</v>
      </c>
      <c r="B14" s="16" t="s">
        <v>93</v>
      </c>
      <c r="C14" s="17" t="s">
        <v>99</v>
      </c>
      <c r="D14" s="17" t="s">
        <v>104</v>
      </c>
      <c r="E14" s="17" t="s">
        <v>424</v>
      </c>
    </row>
    <row r="15" customFormat="false" ht="15" hidden="false" customHeight="false" outlineLevel="0" collapsed="false">
      <c r="A15" s="18" t="s">
        <v>425</v>
      </c>
      <c r="B15" s="16" t="s">
        <v>89</v>
      </c>
      <c r="C15" s="17" t="s">
        <v>426</v>
      </c>
      <c r="D15" s="17" t="s">
        <v>427</v>
      </c>
      <c r="E15" s="17" t="s">
        <v>428</v>
      </c>
    </row>
    <row r="16" customFormat="false" ht="15" hidden="false" customHeight="false" outlineLevel="0" collapsed="false">
      <c r="A16" s="18" t="s">
        <v>425</v>
      </c>
      <c r="B16" s="16" t="s">
        <v>70</v>
      </c>
      <c r="C16" s="17" t="s">
        <v>429</v>
      </c>
      <c r="D16" s="17" t="s">
        <v>430</v>
      </c>
      <c r="E16" s="17" t="s">
        <v>431</v>
      </c>
    </row>
    <row r="17" customFormat="false" ht="15" hidden="false" customHeight="false" outlineLevel="0" collapsed="false">
      <c r="A17" s="18" t="s">
        <v>432</v>
      </c>
      <c r="B17" s="16" t="s">
        <v>66</v>
      </c>
      <c r="C17" s="17" t="s">
        <v>410</v>
      </c>
      <c r="D17" s="17" t="s">
        <v>433</v>
      </c>
      <c r="E17" s="17" t="s">
        <v>434</v>
      </c>
    </row>
    <row r="18" customFormat="false" ht="15" hidden="false" customHeight="false" outlineLevel="0" collapsed="false">
      <c r="A18" s="18" t="s">
        <v>432</v>
      </c>
      <c r="B18" s="16" t="s">
        <v>62</v>
      </c>
      <c r="C18" s="17" t="s">
        <v>410</v>
      </c>
      <c r="D18" s="17" t="s">
        <v>435</v>
      </c>
      <c r="E18" s="17" t="s">
        <v>436</v>
      </c>
    </row>
    <row r="19" customFormat="false" ht="15" hidden="false" customHeight="false" outlineLevel="0" collapsed="false">
      <c r="A19" s="18" t="s">
        <v>432</v>
      </c>
      <c r="B19" s="16" t="s">
        <v>81</v>
      </c>
      <c r="C19" s="17" t="s">
        <v>410</v>
      </c>
      <c r="D19" s="17" t="s">
        <v>437</v>
      </c>
      <c r="E19" s="17" t="s">
        <v>438</v>
      </c>
    </row>
    <row r="20" customFormat="false" ht="22.35" hidden="false" customHeight="false" outlineLevel="0" collapsed="false">
      <c r="A20" s="18" t="s">
        <v>439</v>
      </c>
      <c r="B20" s="16" t="s">
        <v>81</v>
      </c>
      <c r="C20" s="17" t="s">
        <v>440</v>
      </c>
      <c r="D20" s="17" t="s">
        <v>441</v>
      </c>
      <c r="E20" s="17" t="s">
        <v>442</v>
      </c>
    </row>
    <row r="22" customFormat="false" ht="15" hidden="false" customHeight="false" outlineLevel="0" collapsed="false">
      <c r="A22" s="15" t="s">
        <v>443</v>
      </c>
      <c r="B22" s="20" t="n">
        <f aca="false">COUNTIF(A5:A20,"CORRECTION")</f>
        <v>5</v>
      </c>
    </row>
    <row r="23" customFormat="false" ht="15" hidden="false" customHeight="false" outlineLevel="0" collapsed="false">
      <c r="A23" s="15" t="s">
        <v>444</v>
      </c>
      <c r="B23" s="20" t="n">
        <f aca="false">COUNTA(A5:A20)</f>
        <v>16</v>
      </c>
    </row>
  </sheetData>
  <autoFilter ref="A4:E20"/>
  <conditionalFormatting sqref="A5:A20">
    <cfRule type="cellIs" priority="2" operator="equal" aboveAverage="0" equalAverage="0" bottom="0" percent="0" rank="0" text="" dxfId="23">
      <formula>"CORRECTION"</formula>
    </cfRule>
    <cfRule type="cellIs" priority="3" operator="equal" aboveAverage="0" equalAverage="0" bottom="0" percent="0" rank="0" text="" dxfId="0">
      <formula>"NEW ROW"</formula>
    </cfRule>
    <cfRule type="cellIs" priority="4" operator="equal" aboveAverage="0" equalAverage="0" bottom="0" percent="0" rank="0" text="" dxfId="24">
      <formula>"SOURCE FIX"</formula>
    </cfRule>
    <cfRule type="cellIs" priority="5" operator="equal" aboveAverage="0" equalAverage="0" bottom="0" percent="0" rank="0" text="" dxfId="13">
      <formula>"PHASE"</formula>
    </cfRule>
    <cfRule type="cellIs" priority="6" operator="equal" aboveAverage="0" equalAverage="0" bottom="0" percent="0" rank="0" text="" dxfId="6">
      <formula>"GAP CLOSED"</formula>
    </cfRule>
    <cfRule type="cellIs" priority="7" operator="equal" aboveAverage="0" equalAverage="0" bottom="0" percent="0" rank="0" text="" dxfId="13">
      <formula>"NEW GAP"</formula>
    </cfRule>
    <cfRule type="cellIs" priority="8" operator="equal" aboveAverage="0" equalAverage="0" bottom="0" percent="0" rank="0" text="" dxfId="25">
      <formula>"DECIDED"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2026-08-18T22:43:34Z</dcterms:created>
  <dc:creator>openpyxl</dc:creator>
  <dc:description/>
  <dc:language>en-US</dc:language>
  <cp:lastModifiedBy/>
  <dcterms:modified xsi:type="dcterms:W3CDTF">2026-08-18T22:43:34Z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